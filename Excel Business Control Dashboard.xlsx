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🏠 ÍNDICE" sheetId="1" r:id="rId4"/>
    <sheet state="visible" name="DATOS CRUDOS PLANTILLA" sheetId="2" r:id="rId5"/>
    <sheet state="visible" name="DATOS SECCION PLANTILLA" sheetId="3" r:id="rId6"/>
    <sheet state="visible" name="VISUAL SEG MENSUAL PLANTILLA" sheetId="4" r:id="rId7"/>
    <sheet state="visible" name="VISUAL SEG. SEMANAL PLANTILLA" sheetId="5" r:id="rId8"/>
    <sheet state="visible" name="VISUAL SEMANAL SECCION PLANTILL" sheetId="6" r:id="rId9"/>
    <sheet state="visible" name="DATOS CRUDOS EJEMPLO" sheetId="7" r:id="rId10"/>
    <sheet state="visible" name="VISUAL SEG. SEMANAL EJEMPLO 1" sheetId="8" r:id="rId11"/>
    <sheet state="visible" name="VISUAL SEG MENSUAL EJEMPLO 1" sheetId="9" r:id="rId12"/>
    <sheet state="visible" name="VISUAL SEMANAL SECCION" sheetId="10" r:id="rId13"/>
    <sheet state="visible" name="DATOS SECCION" sheetId="11" r:id="rId14"/>
  </sheets>
  <definedNames/>
  <calcPr/>
  <extLst>
    <ext uri="GoogleSheetsCustomDataVersion2">
      <go:sheetsCustomData xmlns:go="http://customooxmlschemas.google.com/" r:id="rId15" roundtripDataChecksum="jDRESQe7vTZV+Xgns6PA6QzrtW5cB5sqMne9c6WXBPI="/>
    </ext>
  </extLst>
</workbook>
</file>

<file path=xl/sharedStrings.xml><?xml version="1.0" encoding="utf-8"?>
<sst xmlns="http://schemas.openxmlformats.org/spreadsheetml/2006/main" count="1139" uniqueCount="178">
  <si>
    <t>INDICE DE NACEGACIÓN</t>
  </si>
  <si>
    <t>📂  DATOS</t>
  </si>
  <si>
    <t xml:space="preserve">     Hojas de introducción de datos</t>
  </si>
  <si>
    <t xml:space="preserve">  ➜  📊  Datos Crudos 1</t>
  </si>
  <si>
    <t xml:space="preserve">  ➜  📋  Datos Crudos 2</t>
  </si>
  <si>
    <t>📈  VISUAL SEGUIMIENTOS</t>
  </si>
  <si>
    <t xml:space="preserve">     Dashboards de seguimiento </t>
  </si>
  <si>
    <t xml:space="preserve">  ➜  📅  Seg. Semanal</t>
  </si>
  <si>
    <t xml:space="preserve">  ➜  📆  Seg. Mensual</t>
  </si>
  <si>
    <t>🔍  SEGUIMIENTO DE SECCIÓN SEMANAL</t>
  </si>
  <si>
    <t xml:space="preserve">     Dashboards de alertas — ver y actuar</t>
  </si>
  <si>
    <t xml:space="preserve">  ➜  🚨  Visual Sección</t>
  </si>
  <si>
    <t>DATOS CRUDOS — OT: SEGUIMIENTOS MENSUAL Y SEMANAL — 2026</t>
  </si>
  <si>
    <t>▌  BLOQUE A — SEGUIMIENTO SEMANAL</t>
  </si>
  <si>
    <t>SECCIÓN</t>
  </si>
  <si>
    <t>SEM 1</t>
  </si>
  <si>
    <t>SEM 2</t>
  </si>
  <si>
    <t>SEM 3</t>
  </si>
  <si>
    <t>SEM 4</t>
  </si>
  <si>
    <t>SEM 5</t>
  </si>
  <si>
    <t>KPI</t>
  </si>
  <si>
    <t>Producto 1</t>
  </si>
  <si>
    <t>Producto 2</t>
  </si>
  <si>
    <t>Producto 3</t>
  </si>
  <si>
    <t>Producto 4</t>
  </si>
  <si>
    <t>Producto 5</t>
  </si>
  <si>
    <t>Producto 6</t>
  </si>
  <si>
    <t>Producto 7</t>
  </si>
  <si>
    <t>Producto 8</t>
  </si>
  <si>
    <t>Producto 9</t>
  </si>
  <si>
    <t>TIENDA</t>
  </si>
  <si>
    <t xml:space="preserve">▌  BLOQUE B — SEGUIMIENTO MENSUAL  </t>
  </si>
  <si>
    <t>MÉTRICA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</si>
  <si>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</si>
  <si>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</si>
  <si>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</si>
  <si>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</si>
  <si>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</si>
  <si>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</si>
  <si>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</si>
  <si>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</si>
  <si>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</si>
  <si>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</si>
  <si>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</si>
  <si>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</si>
  <si>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</si>
  <si>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 xml:space="preserve">⚠️  INSTRUCCIONES: </t>
  </si>
  <si>
    <t>BLOQUE C</t>
  </si>
  <si>
    <t>SEMANA 1</t>
  </si>
  <si>
    <t>SEMANA 2</t>
  </si>
  <si>
    <t>SEMANA 3</t>
  </si>
  <si>
    <t>SEMANA 4</t>
  </si>
  <si>
    <t>SEMANA 5</t>
  </si>
  <si>
    <t>PRODUCTO</t>
  </si>
  <si>
    <t xml:space="preserve">DATOS CRUDOS </t>
  </si>
  <si>
    <t xml:space="preserve">▌ BLOQUE 1 — ALERTAS SEMANALES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</si>
  <si>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</si>
  <si>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</si>
  <si>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</si>
  <si>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</si>
  <si>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</si>
  <si>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</si>
  <si>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</si>
  <si>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</si>
  <si>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</si>
  <si>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</si>
  <si>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</si>
  <si>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</si>
  <si>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SEMANA</t>
  </si>
  <si>
    <t>FAMILIA</t>
  </si>
  <si>
    <t>Semana 1</t>
  </si>
  <si>
    <t>FAM A</t>
  </si>
  <si>
    <t>Semana 6</t>
  </si>
  <si>
    <t>Semana 10</t>
  </si>
  <si>
    <t>Semana 14</t>
  </si>
  <si>
    <t>Semana 19</t>
  </si>
  <si>
    <t>Semana 23</t>
  </si>
  <si>
    <t>Semana 27</t>
  </si>
  <si>
    <t>Semana 32</t>
  </si>
  <si>
    <t>Semana 36</t>
  </si>
  <si>
    <t>Semana 40</t>
  </si>
  <si>
    <t>Semana 44</t>
  </si>
  <si>
    <t>Semana 48</t>
  </si>
  <si>
    <t>FAM B</t>
  </si>
  <si>
    <t>FAM C</t>
  </si>
  <si>
    <t>Semana 2</t>
  </si>
  <si>
    <t>Semana 7</t>
  </si>
  <si>
    <t>Semana 11</t>
  </si>
  <si>
    <t>Semana 15</t>
  </si>
  <si>
    <t>Semana 20</t>
  </si>
  <si>
    <t>Semana 24</t>
  </si>
  <si>
    <t>Semana 28</t>
  </si>
  <si>
    <t>Semana 33</t>
  </si>
  <si>
    <t>Semana 37</t>
  </si>
  <si>
    <t>Semana 41</t>
  </si>
  <si>
    <t>Semana 45</t>
  </si>
  <si>
    <t>Semana 49</t>
  </si>
  <si>
    <t>Semana 3</t>
  </si>
  <si>
    <t>Semana 8</t>
  </si>
  <si>
    <t>Semana 12</t>
  </si>
  <si>
    <t>Semana 16</t>
  </si>
  <si>
    <t>Semana 21</t>
  </si>
  <si>
    <t>Semana 25</t>
  </si>
  <si>
    <t>Semana 29</t>
  </si>
  <si>
    <t>Semana 34</t>
  </si>
  <si>
    <t>Semana 38</t>
  </si>
  <si>
    <t>Semana 42</t>
  </si>
  <si>
    <t>Semana 46</t>
  </si>
  <si>
    <t>Semana 50</t>
  </si>
  <si>
    <t>Semana 4</t>
  </si>
  <si>
    <t>Semana 9</t>
  </si>
  <si>
    <t>Semana 13</t>
  </si>
  <si>
    <t>Semana 17</t>
  </si>
  <si>
    <t>Semana 22</t>
  </si>
  <si>
    <t>Semana 26</t>
  </si>
  <si>
    <t>Semana 30</t>
  </si>
  <si>
    <t>Semana 35</t>
  </si>
  <si>
    <t>Semana 39</t>
  </si>
  <si>
    <t>Semana 43</t>
  </si>
  <si>
    <t>Semana 47</t>
  </si>
  <si>
    <t>Semana 51</t>
  </si>
  <si>
    <t>Semana 5</t>
  </si>
  <si>
    <t>Semana 18</t>
  </si>
  <si>
    <t>Semana 31</t>
  </si>
  <si>
    <t xml:space="preserve">▌ BLOQUE 2 — SEGUIMIENTO MENSUAL </t>
  </si>
  <si>
    <t>⚠️  Instrucciones</t>
  </si>
  <si>
    <t>📦  DEMARCA — SEGUIMIENTO MENSUAL</t>
  </si>
  <si>
    <t>REFERENCIAS KPI</t>
  </si>
  <si>
    <t xml:space="preserve">GAP </t>
  </si>
  <si>
    <t xml:space="preserve">KPIs </t>
  </si>
  <si>
    <t>PILOTAJE ANUAL TOTAL</t>
  </si>
  <si>
    <t>MES</t>
  </si>
  <si>
    <t>GAP (€)</t>
  </si>
  <si>
    <t>PILOTAJE (€)</t>
  </si>
  <si>
    <t>ESTADO</t>
  </si>
  <si>
    <t>VALOR</t>
  </si>
  <si>
    <t>Grafico</t>
  </si>
  <si>
    <t>Sección A</t>
  </si>
  <si>
    <t>TOTAL</t>
  </si>
  <si>
    <t>ℹ️ Sin objetivo</t>
  </si>
  <si>
    <t>Región Sur</t>
  </si>
  <si>
    <t>NOVIMEBRE</t>
  </si>
  <si>
    <t>📊  SEGUIMIENTO SEMANAL — 2026</t>
  </si>
  <si>
    <t xml:space="preserve">  SEMANA 1</t>
  </si>
  <si>
    <t xml:space="preserve">  SEMANA 2</t>
  </si>
  <si>
    <t>Producto</t>
  </si>
  <si>
    <t>Accion</t>
  </si>
  <si>
    <t>🚨  PRODUCTOS EN ALERTA — SECCIÓN X</t>
  </si>
  <si>
    <t>🔴 Demarca negativa = pérdida     🟢 Demarca positiva     ✍️ Rellena tu plan de acción</t>
  </si>
  <si>
    <t>✍️ PLAN DE ACCIÓN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</si>
  <si>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</si>
  <si>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</si>
  <si>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</si>
  <si>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</si>
  <si>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</si>
  <si>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</si>
  <si>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</si>
  <si>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</si>
  <si>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</si>
  <si>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</si>
  <si>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</si>
  <si>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</si>
  <si>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SEM 18</t>
  </si>
  <si>
    <t>SEM 19</t>
  </si>
  <si>
    <t>SEM 20</t>
  </si>
  <si>
    <t>SEM 21</t>
  </si>
  <si>
    <t>▌  BLOQUE C — SEGUIMIENTO SEMANAL: ALERTAS</t>
  </si>
  <si>
    <t>SEMANA 6</t>
  </si>
  <si>
    <t>SEMANA 7</t>
  </si>
  <si>
    <t>SEMANA 8</t>
  </si>
  <si>
    <t xml:space="preserve">  SEMANA 3</t>
  </si>
  <si>
    <t>Productos</t>
  </si>
  <si>
    <t>Región Norte</t>
  </si>
  <si>
    <t>Empresa B</t>
  </si>
  <si>
    <t>Empresa A</t>
  </si>
  <si>
    <t xml:space="preserve">GAP DEMARCA </t>
  </si>
  <si>
    <t>📋  Los datos se actualizan automáticamente</t>
  </si>
  <si>
    <t>Sección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</si>
</sst>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&quot; €&quot;"/>
    <numFmt numFmtId="165" formatCode="0.0"/>
    <numFmt numFmtId="166" formatCode="#,##0&quot; €&quot;"/>
    <numFmt numFmtId="167" formatCode="#,##0.##"/>
    <numFmt numFmtId="168" formatCode="#,##0.00\ [$€-1]"/>
    <numFmt numFmtId="169" formatCode="#,##0\ [$€-1]"/>
  </numFmts>
  <fonts count="47">
    <font>
      <sz val="10.0"/>
      <color rgb="FF000000"/>
      <name val="Arial"/>
      <scheme val="minor"/>
    </font>
    <font>
      <sz val="10.0"/>
      <color rgb="FF000000"/>
      <name val="Arial"/>
    </font>
    <font>
      <b/>
      <sz val="20.0"/>
      <color rgb="FFFFFFFF"/>
      <name val="Arial"/>
    </font>
    <font/>
    <font>
      <b/>
      <sz val="12.0"/>
      <color rgb="FFFFFFFF"/>
      <name val="Arial"/>
    </font>
    <font>
      <i/>
      <sz val="9.0"/>
      <color rgb="FF555555"/>
      <name val="Arial"/>
    </font>
    <font>
      <b/>
      <u/>
      <sz val="11.0"/>
      <color rgb="FF0000FF"/>
      <name val="Arial"/>
    </font>
    <font>
      <sz val="10.0"/>
      <color rgb="FF333333"/>
      <name val="Arial"/>
    </font>
    <font>
      <b/>
      <u/>
      <sz val="11.0"/>
      <color rgb="FF0000FF"/>
      <name val="Arial"/>
    </font>
    <font>
      <b/>
      <sz val="16.0"/>
      <color rgb="FFFFFFFF"/>
      <name val="Arial"/>
    </font>
    <font>
      <b/>
      <sz val="18.0"/>
      <color rgb="FFFFFFFF"/>
      <name val="Arial"/>
    </font>
    <font>
      <b/>
      <sz val="11.0"/>
      <color rgb="FFFFFFFF"/>
      <name val="Arial"/>
    </font>
    <font>
      <b/>
      <color rgb="FFFFFFFF"/>
      <name val="Arial"/>
    </font>
    <font>
      <b/>
      <sz val="9.0"/>
      <color rgb="FFFFFFFF"/>
      <name val="Arial"/>
    </font>
    <font>
      <sz val="11.0"/>
      <color rgb="FF000000"/>
      <name val="Calibri"/>
    </font>
    <font>
      <b/>
      <sz val="8.0"/>
      <color rgb="FFFFFFFF"/>
      <name val="Arial"/>
    </font>
    <font>
      <b/>
      <sz val="10.0"/>
      <color rgb="FFFFFFFF"/>
      <name val="Arial"/>
    </font>
    <font>
      <sz val="9.0"/>
      <color rgb="FF000000"/>
      <name val="Arial"/>
    </font>
    <font>
      <color theme="1"/>
      <name val="Arial"/>
    </font>
    <font>
      <b/>
      <sz val="9.0"/>
      <color rgb="FF000000"/>
      <name val="Arial"/>
    </font>
    <font>
      <i/>
      <sz val="9.0"/>
      <color rgb="FF888888"/>
      <name val="Arial"/>
    </font>
    <font>
      <b/>
      <sz val="10.0"/>
      <color rgb="FFC00000"/>
      <name val="Arial"/>
    </font>
    <font>
      <b/>
      <color rgb="FF000000"/>
      <name val="Arial"/>
    </font>
    <font>
      <b/>
      <sz val="12.0"/>
      <color rgb="FFFFFFFF"/>
      <name val="Arial"/>
      <scheme val="minor"/>
    </font>
    <font>
      <sz val="9.0"/>
      <color rgb="FF1F3864"/>
      <name val="Arial"/>
    </font>
    <font>
      <b/>
      <sz val="13.0"/>
      <color rgb="FFFFFFFF"/>
      <name val="Arial"/>
    </font>
    <font>
      <b/>
      <sz val="11.0"/>
      <color rgb="FF70AD47"/>
      <name val="Arial"/>
    </font>
    <font>
      <b/>
      <sz val="11.0"/>
      <color rgb="FF000000"/>
      <name val="Arial"/>
    </font>
    <font>
      <b/>
      <sz val="10.0"/>
      <color rgb="FF70AD47"/>
      <name val="Arial"/>
    </font>
    <font>
      <b/>
      <sz val="10.0"/>
      <color rgb="FF000000"/>
      <name val="Arial"/>
    </font>
    <font>
      <b/>
      <sz val="12.0"/>
      <color rgb="FF70AD47"/>
      <name val="Arial"/>
    </font>
    <font>
      <color theme="1"/>
      <name val="Arial"/>
      <scheme val="minor"/>
    </font>
    <font>
      <b/>
      <sz val="10.0"/>
      <color rgb="FFFF0000"/>
      <name val="Arial"/>
    </font>
    <font>
      <b/>
      <sz val="11.0"/>
      <color rgb="FFAAAAAA"/>
      <name val="Arial"/>
    </font>
    <font>
      <i/>
      <sz val="9.0"/>
      <color rgb="FF666666"/>
      <name val="Arial"/>
    </font>
    <font>
      <sz val="12.0"/>
      <color theme="1"/>
      <name val="Arial"/>
    </font>
    <font>
      <sz val="9.0"/>
      <color rgb="FF888888"/>
      <name val="Arial"/>
    </font>
    <font>
      <b/>
      <sz val="12.0"/>
      <color rgb="FFFF0000"/>
      <name val="Arial"/>
    </font>
    <font>
      <b/>
      <sz val="12.0"/>
      <color theme="1"/>
      <name val="Arial"/>
    </font>
    <font>
      <b/>
      <sz val="22.0"/>
      <color rgb="FFFFFFFF"/>
      <name val="Arial"/>
    </font>
    <font>
      <i/>
      <sz val="9.0"/>
      <color rgb="FF1F3864"/>
      <name val="Arial"/>
    </font>
    <font>
      <b/>
      <sz val="14.0"/>
      <color rgb="FFFFFFFF"/>
      <name val="Arial"/>
    </font>
    <font>
      <b/>
      <sz val="11.0"/>
      <color rgb="FFC00000"/>
      <name val="Arial"/>
    </font>
    <font>
      <sz val="10.0"/>
      <color rgb="FF1F4E79"/>
      <name val="Arial"/>
    </font>
    <font>
      <i/>
      <sz val="10.0"/>
      <color rgb="FF555555"/>
      <name val="Arial"/>
    </font>
    <font>
      <color rgb="FF000000"/>
      <name val="Arial"/>
    </font>
    <font>
      <b/>
      <color rgb="FFC00000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BDD7EE"/>
        <bgColor rgb="FFBDD7EE"/>
      </patternFill>
    </fill>
    <fill>
      <patternFill patternType="solid">
        <fgColor rgb="FFD9D9D9"/>
        <bgColor rgb="FFD9D9D9"/>
      </patternFill>
    </fill>
    <fill>
      <patternFill patternType="solid">
        <fgColor rgb="FF70AD47"/>
        <bgColor rgb="FF70AD47"/>
      </patternFill>
    </fill>
    <fill>
      <patternFill patternType="solid">
        <fgColor rgb="FF1F4E79"/>
        <bgColor rgb="FF1F4E79"/>
      </patternFill>
    </fill>
    <fill>
      <patternFill patternType="solid">
        <fgColor rgb="FFFFE0E0"/>
        <bgColor rgb="FFFFE0E0"/>
      </patternFill>
    </fill>
    <fill>
      <patternFill patternType="solid">
        <fgColor rgb="FFE2EFDA"/>
        <bgColor rgb="FFE2EFDA"/>
      </patternFill>
    </fill>
    <fill>
      <patternFill patternType="solid">
        <fgColor rgb="FFFFD966"/>
        <bgColor rgb="FFFFD966"/>
      </patternFill>
    </fill>
    <fill>
      <patternFill patternType="solid">
        <fgColor rgb="FFE6E3CF"/>
        <bgColor rgb="FFE6E3CF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F7FBFF"/>
        <bgColor rgb="FFF7FBFF"/>
      </patternFill>
    </fill>
    <fill>
      <patternFill patternType="solid">
        <fgColor rgb="FFEBF3FB"/>
        <bgColor rgb="FFEBF3FB"/>
      </patternFill>
    </fill>
    <fill>
      <patternFill patternType="solid">
        <fgColor rgb="FF2E74B5"/>
        <bgColor rgb="FF2E74B5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C00000"/>
        <bgColor rgb="FFC00000"/>
      </patternFill>
    </fill>
    <fill>
      <patternFill patternType="solid">
        <fgColor rgb="FF93C47D"/>
        <bgColor rgb="FF93C47D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 style="medium">
        <color rgb="FF1F3864"/>
      </left>
      <right style="medium">
        <color rgb="FF1F3864"/>
      </right>
      <bottom style="medium">
        <color rgb="FF1F3864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/>
      <right/>
      <top/>
      <bottom/>
    </border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BFBFBF"/>
      </bottom>
    </border>
  </borders>
  <cellStyleXfs count="1">
    <xf borderId="0" fillId="0" fontId="0" numFmtId="0" applyAlignment="1" applyFont="1"/>
  </cellStyleXfs>
  <cellXfs count="2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shrinkToFit="0" wrapText="1"/>
    </xf>
    <xf borderId="1" fillId="4" fontId="5" numFmtId="0" xfId="0" applyAlignment="1" applyBorder="1" applyFill="1" applyFont="1">
      <alignment shrinkToFit="0" wrapText="1"/>
    </xf>
    <xf borderId="4" fillId="2" fontId="6" numFmtId="0" xfId="0" applyAlignment="1" applyBorder="1" applyFont="1">
      <alignment horizontal="left" shrinkToFit="0" vertical="center" wrapText="1"/>
    </xf>
    <xf borderId="5" fillId="5" fontId="7" numFmtId="0" xfId="0" applyAlignment="1" applyBorder="1" applyFill="1" applyFont="1">
      <alignment horizontal="left" shrinkToFit="0" vertical="center" wrapText="1"/>
    </xf>
    <xf borderId="6" fillId="2" fontId="8" numFmtId="0" xfId="0" applyAlignment="1" applyBorder="1" applyFont="1">
      <alignment horizontal="left" shrinkToFit="0" vertical="center" wrapText="1"/>
    </xf>
    <xf borderId="7" fillId="5" fontId="7" numFmtId="0" xfId="0" applyAlignment="1" applyBorder="1" applyFont="1">
      <alignment horizontal="left" shrinkToFit="0" vertical="center" wrapText="1"/>
    </xf>
    <xf borderId="1" fillId="6" fontId="1" numFmtId="0" xfId="0" applyAlignment="1" applyBorder="1" applyFill="1" applyFont="1">
      <alignment vertical="bottom"/>
    </xf>
    <xf borderId="1" fillId="7" fontId="4" numFmtId="0" xfId="0" applyAlignment="1" applyBorder="1" applyFill="1" applyFont="1">
      <alignment shrinkToFit="0" wrapText="1"/>
    </xf>
    <xf borderId="1" fillId="2" fontId="9" numFmtId="0" xfId="0" applyAlignment="1" applyBorder="1" applyFont="1">
      <alignment horizontal="center" shrinkToFit="0" wrapText="1"/>
    </xf>
    <xf borderId="2" fillId="2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readingOrder="0" shrinkToFit="0" wrapText="1"/>
    </xf>
    <xf borderId="7" fillId="2" fontId="12" numFmtId="0" xfId="0" applyAlignment="1" applyBorder="1" applyFont="1">
      <alignment horizontal="center" shrinkToFit="0" wrapText="1"/>
    </xf>
    <xf borderId="8" fillId="3" fontId="13" numFmtId="0" xfId="0" applyAlignment="1" applyBorder="1" applyFont="1">
      <alignment horizontal="center" shrinkToFit="0" wrapText="1"/>
    </xf>
    <xf borderId="9" fillId="0" fontId="3" numFmtId="0" xfId="0" applyBorder="1" applyFont="1"/>
    <xf borderId="10" fillId="0" fontId="3" numFmtId="0" xfId="0" applyBorder="1" applyFont="1"/>
    <xf borderId="8" fillId="8" fontId="13" numFmtId="0" xfId="0" applyAlignment="1" applyBorder="1" applyFill="1" applyFont="1">
      <alignment horizontal="center" shrinkToFit="0" wrapText="1"/>
    </xf>
    <xf borderId="7" fillId="2" fontId="14" numFmtId="0" xfId="0" applyAlignment="1" applyBorder="1" applyFont="1">
      <alignment vertical="bottom"/>
    </xf>
    <xf borderId="7" fillId="3" fontId="15" numFmtId="0" xfId="0" applyAlignment="1" applyBorder="1" applyFont="1">
      <alignment horizontal="center" readingOrder="0" shrinkToFit="0" vertical="center" wrapText="1"/>
    </xf>
    <xf borderId="7" fillId="8" fontId="15" numFmtId="0" xfId="0" applyAlignment="1" applyBorder="1" applyFont="1">
      <alignment horizontal="center" readingOrder="0" shrinkToFit="0" vertical="center" wrapText="1"/>
    </xf>
    <xf borderId="7" fillId="3" fontId="16" numFmtId="0" xfId="0" applyAlignment="1" applyBorder="1" applyFont="1">
      <alignment horizontal="left" shrinkToFit="0" vertical="center" wrapText="1"/>
    </xf>
    <xf borderId="7" fillId="9" fontId="17" numFmtId="164" xfId="0" applyAlignment="1" applyBorder="1" applyFill="1" applyFont="1" applyNumberFormat="1">
      <alignment horizontal="center" shrinkToFit="0" vertical="center" wrapText="1"/>
    </xf>
    <xf borderId="7" fillId="9" fontId="17" numFmtId="10" xfId="0" applyAlignment="1" applyBorder="1" applyFont="1" applyNumberFormat="1">
      <alignment horizontal="center" shrinkToFit="0" vertical="center" wrapText="1"/>
    </xf>
    <xf borderId="7" fillId="10" fontId="17" numFmtId="165" xfId="0" applyAlignment="1" applyBorder="1" applyFill="1" applyFont="1" applyNumberFormat="1">
      <alignment horizontal="center" shrinkToFit="0" vertical="center" wrapText="1"/>
    </xf>
    <xf borderId="11" fillId="9" fontId="17" numFmtId="164" xfId="0" applyAlignment="1" applyBorder="1" applyFont="1" applyNumberFormat="1">
      <alignment horizontal="center" shrinkToFit="0" vertical="center" wrapText="1"/>
    </xf>
    <xf borderId="11" fillId="9" fontId="17" numFmtId="10" xfId="0" applyAlignment="1" applyBorder="1" applyFont="1" applyNumberFormat="1">
      <alignment horizontal="center" shrinkToFit="0" vertical="center" wrapText="1"/>
    </xf>
    <xf borderId="11" fillId="10" fontId="17" numFmtId="165" xfId="0" applyAlignment="1" applyBorder="1" applyFont="1" applyNumberFormat="1">
      <alignment horizontal="center" shrinkToFit="0" vertical="center" wrapText="1"/>
    </xf>
    <xf borderId="8" fillId="11" fontId="16" numFmtId="0" xfId="0" applyAlignment="1" applyBorder="1" applyFill="1" applyFont="1">
      <alignment horizontal="left" readingOrder="0" shrinkToFit="0" vertical="center" wrapText="1"/>
    </xf>
    <xf borderId="12" fillId="12" fontId="17" numFmtId="164" xfId="0" applyAlignment="1" applyBorder="1" applyFill="1" applyFont="1" applyNumberFormat="1">
      <alignment horizontal="center" shrinkToFit="0" vertical="center" wrapText="1"/>
    </xf>
    <xf borderId="12" fillId="12" fontId="17" numFmtId="10" xfId="0" applyAlignment="1" applyBorder="1" applyFont="1" applyNumberFormat="1">
      <alignment horizontal="center" shrinkToFit="0" vertical="center" wrapText="1"/>
    </xf>
    <xf borderId="12" fillId="12" fontId="17" numFmtId="165" xfId="0" applyAlignment="1" applyBorder="1" applyFont="1" applyNumberFormat="1">
      <alignment horizontal="center" shrinkToFit="0" vertical="center" wrapText="1"/>
    </xf>
    <xf borderId="0" fillId="0" fontId="18" numFmtId="0" xfId="0" applyAlignment="1" applyFont="1">
      <alignment vertical="bottom"/>
    </xf>
    <xf borderId="7" fillId="3" fontId="13" numFmtId="0" xfId="0" applyAlignment="1" applyBorder="1" applyFont="1">
      <alignment horizontal="center" shrinkToFit="0" wrapText="1"/>
    </xf>
    <xf borderId="7" fillId="8" fontId="13" numFmtId="0" xfId="0" applyAlignment="1" applyBorder="1" applyFont="1">
      <alignment horizontal="center" shrinkToFit="0" wrapText="1"/>
    </xf>
    <xf borderId="7" fillId="2" fontId="13" numFmtId="0" xfId="0" applyAlignment="1" applyBorder="1" applyFont="1">
      <alignment horizontal="center" shrinkToFit="0" wrapText="1"/>
    </xf>
    <xf borderId="7" fillId="5" fontId="19" numFmtId="0" xfId="0" applyAlignment="1" applyBorder="1" applyFont="1">
      <alignment horizontal="left" readingOrder="0" shrinkToFit="0" vertical="center" wrapText="1"/>
    </xf>
    <xf borderId="7" fillId="12" fontId="17" numFmtId="166" xfId="0" applyAlignment="1" applyBorder="1" applyFont="1" applyNumberFormat="1">
      <alignment horizontal="center" shrinkToFit="0" vertical="center" wrapText="1"/>
    </xf>
    <xf borderId="7" fillId="5" fontId="19" numFmtId="166" xfId="0" applyAlignment="1" applyBorder="1" applyFont="1" applyNumberFormat="1">
      <alignment horizontal="center" shrinkToFit="0" vertical="center" wrapText="1"/>
    </xf>
    <xf borderId="0" fillId="0" fontId="18" numFmtId="2" xfId="0" applyFont="1" applyNumberFormat="1"/>
    <xf borderId="7" fillId="9" fontId="17" numFmtId="166" xfId="0" applyAlignment="1" applyBorder="1" applyFont="1" applyNumberFormat="1">
      <alignment horizontal="center" shrinkToFit="0" vertical="center" wrapText="1"/>
    </xf>
    <xf borderId="7" fillId="10" fontId="17" numFmtId="166" xfId="0" applyAlignment="1" applyBorder="1" applyFont="1" applyNumberFormat="1">
      <alignment horizontal="center" shrinkToFit="0" vertical="center" wrapText="1"/>
    </xf>
    <xf borderId="7" fillId="13" fontId="17" numFmtId="165" xfId="0" applyAlignment="1" applyBorder="1" applyFill="1" applyFont="1" applyNumberFormat="1">
      <alignment horizontal="center" shrinkToFit="0" vertical="center" wrapText="1"/>
    </xf>
    <xf borderId="7" fillId="5" fontId="19" numFmtId="165" xfId="0" applyAlignment="1" applyBorder="1" applyFont="1" applyNumberFormat="1">
      <alignment horizontal="center" shrinkToFit="0" vertical="center" wrapText="1"/>
    </xf>
    <xf borderId="7" fillId="13" fontId="17" numFmtId="10" xfId="0" applyAlignment="1" applyBorder="1" applyFont="1" applyNumberFormat="1">
      <alignment horizontal="center" shrinkToFit="0" vertical="center" wrapText="1"/>
    </xf>
    <xf borderId="7" fillId="5" fontId="19" numFmtId="10" xfId="0" applyAlignment="1" applyBorder="1" applyFont="1" applyNumberFormat="1">
      <alignment horizontal="center" shrinkToFit="0" vertical="center" wrapText="1"/>
    </xf>
    <xf borderId="7" fillId="13" fontId="17" numFmtId="3" xfId="0" applyAlignment="1" applyBorder="1" applyFont="1" applyNumberFormat="1">
      <alignment horizontal="center" shrinkToFit="0" vertical="center" wrapText="1"/>
    </xf>
    <xf borderId="7" fillId="5" fontId="19" numFmtId="3" xfId="0" applyAlignment="1" applyBorder="1" applyFont="1" applyNumberFormat="1">
      <alignment horizontal="center" shrinkToFit="0" vertical="center" wrapText="1"/>
    </xf>
    <xf borderId="11" fillId="5" fontId="19" numFmtId="0" xfId="0" applyAlignment="1" applyBorder="1" applyFont="1">
      <alignment horizontal="left" readingOrder="0" shrinkToFit="0" vertical="center" wrapText="1"/>
    </xf>
    <xf borderId="11" fillId="13" fontId="17" numFmtId="49" xfId="0" applyAlignment="1" applyBorder="1" applyFont="1" applyNumberFormat="1">
      <alignment horizontal="center" shrinkToFit="0" vertical="center" wrapText="1"/>
    </xf>
    <xf borderId="11" fillId="5" fontId="19" numFmtId="49" xfId="0" applyAlignment="1" applyBorder="1" applyFont="1" applyNumberFormat="1">
      <alignment horizontal="center" shrinkToFit="0" vertical="center" wrapText="1"/>
    </xf>
    <xf borderId="1" fillId="4" fontId="20" numFmtId="0" xfId="0" applyAlignment="1" applyBorder="1" applyFont="1">
      <alignment readingOrder="0" shrinkToFit="0" wrapText="1"/>
    </xf>
    <xf borderId="8" fillId="2" fontId="12" numFmtId="0" xfId="0" applyAlignment="1" applyBorder="1" applyFont="1">
      <alignment horizontal="center" shrinkToFit="0" wrapText="1"/>
    </xf>
    <xf borderId="13" fillId="0" fontId="3" numFmtId="0" xfId="0" applyBorder="1" applyFont="1"/>
    <xf borderId="5" fillId="2" fontId="13" numFmtId="0" xfId="0" applyAlignment="1" applyBorder="1" applyFont="1">
      <alignment horizontal="center" readingOrder="0" shrinkToFit="0" wrapText="1"/>
    </xf>
    <xf borderId="7" fillId="4" fontId="1" numFmtId="0" xfId="0" applyAlignment="1" applyBorder="1" applyFont="1">
      <alignment horizontal="left" shrinkToFit="0" vertical="center" wrapText="1"/>
    </xf>
    <xf borderId="7" fillId="9" fontId="21" numFmtId="164" xfId="0" applyAlignment="1" applyBorder="1" applyFont="1" applyNumberFormat="1">
      <alignment horizontal="center" shrinkToFit="0" vertical="center" wrapText="1"/>
    </xf>
    <xf borderId="7" fillId="9" fontId="1" numFmtId="10" xfId="0" applyAlignment="1" applyBorder="1" applyFont="1" applyNumberFormat="1">
      <alignment horizontal="center" shrinkToFit="0" vertical="center" wrapText="1"/>
    </xf>
    <xf borderId="7" fillId="14" fontId="1" numFmtId="0" xfId="0" applyAlignment="1" applyBorder="1" applyFill="1" applyFont="1">
      <alignment horizontal="left" shrinkToFit="0" vertical="center" wrapText="1"/>
    </xf>
    <xf borderId="1" fillId="2" fontId="9" numFmtId="0" xfId="0" applyAlignment="1" applyBorder="1" applyFont="1">
      <alignment horizontal="center" readingOrder="0" shrinkToFit="0" wrapText="1"/>
    </xf>
    <xf borderId="1" fillId="3" fontId="11" numFmtId="0" xfId="0" applyAlignment="1" applyBorder="1" applyFont="1">
      <alignment shrinkToFit="0" wrapText="1"/>
    </xf>
    <xf borderId="2" fillId="0" fontId="18" numFmtId="0" xfId="0" applyBorder="1" applyFont="1"/>
    <xf borderId="3" fillId="0" fontId="18" numFmtId="0" xfId="0" applyBorder="1" applyFont="1"/>
    <xf borderId="0" fillId="2" fontId="11" numFmtId="0" xfId="0" applyAlignment="1" applyFont="1">
      <alignment horizontal="center" shrinkToFit="0" wrapText="1"/>
    </xf>
    <xf borderId="0" fillId="2" fontId="18" numFmtId="0" xfId="0" applyFont="1"/>
    <xf borderId="0" fillId="0" fontId="18" numFmtId="0" xfId="0" applyFont="1"/>
    <xf borderId="7" fillId="2" fontId="12" numFmtId="0" xfId="0" applyAlignment="1" applyBorder="1" applyFont="1">
      <alignment horizontal="center" readingOrder="0" shrinkToFit="0" wrapText="1"/>
    </xf>
    <xf borderId="7" fillId="0" fontId="18" numFmtId="0" xfId="0" applyBorder="1" applyFont="1"/>
    <xf borderId="11" fillId="4" fontId="22" numFmtId="0" xfId="0" applyAlignment="1" applyBorder="1" applyFont="1">
      <alignment horizontal="center" shrinkToFit="0" wrapText="1"/>
    </xf>
    <xf borderId="7" fillId="4" fontId="19" numFmtId="0" xfId="0" applyAlignment="1" applyBorder="1" applyFont="1">
      <alignment shrinkToFit="0" wrapText="1"/>
    </xf>
    <xf borderId="7" fillId="11" fontId="18" numFmtId="164" xfId="0" applyBorder="1" applyFont="1" applyNumberFormat="1"/>
    <xf borderId="7" fillId="11" fontId="18" numFmtId="10" xfId="0" applyBorder="1" applyFont="1" applyNumberFormat="1"/>
    <xf borderId="7" fillId="11" fontId="18" numFmtId="2" xfId="0" applyBorder="1" applyFont="1" applyNumberFormat="1"/>
    <xf borderId="7" fillId="4" fontId="19" numFmtId="0" xfId="0" applyAlignment="1" applyBorder="1" applyFont="1">
      <alignment shrinkToFit="0" wrapText="1"/>
    </xf>
    <xf borderId="14" fillId="0" fontId="3" numFmtId="0" xfId="0" applyBorder="1" applyFont="1"/>
    <xf borderId="5" fillId="0" fontId="3" numFmtId="0" xfId="0" applyBorder="1" applyFont="1"/>
    <xf borderId="11" fillId="4" fontId="19" numFmtId="0" xfId="0" applyAlignment="1" applyBorder="1" applyFont="1">
      <alignment shrinkToFit="0" wrapText="1"/>
    </xf>
    <xf borderId="11" fillId="11" fontId="18" numFmtId="164" xfId="0" applyBorder="1" applyFont="1" applyNumberFormat="1"/>
    <xf borderId="11" fillId="11" fontId="18" numFmtId="10" xfId="0" applyBorder="1" applyFont="1" applyNumberFormat="1"/>
    <xf borderId="11" fillId="11" fontId="18" numFmtId="2" xfId="0" applyBorder="1" applyFont="1" applyNumberFormat="1"/>
    <xf borderId="11" fillId="0" fontId="18" numFmtId="0" xfId="0" applyBorder="1" applyFont="1"/>
    <xf borderId="11" fillId="4" fontId="19" numFmtId="0" xfId="0" applyAlignment="1" applyBorder="1" applyFont="1">
      <alignment shrinkToFit="0" wrapText="1"/>
    </xf>
    <xf borderId="0" fillId="6" fontId="18" numFmtId="0" xfId="0" applyAlignment="1" applyFont="1">
      <alignment vertical="bottom"/>
    </xf>
    <xf borderId="14" fillId="5" fontId="22" numFmtId="0" xfId="0" applyAlignment="1" applyBorder="1" applyFont="1">
      <alignment horizontal="center" shrinkToFit="0" wrapText="1"/>
    </xf>
    <xf borderId="5" fillId="5" fontId="19" numFmtId="0" xfId="0" applyAlignment="1" applyBorder="1" applyFont="1">
      <alignment shrinkToFit="0" wrapText="1"/>
    </xf>
    <xf borderId="5" fillId="11" fontId="18" numFmtId="164" xfId="0" applyBorder="1" applyFont="1" applyNumberFormat="1"/>
    <xf borderId="5" fillId="11" fontId="18" numFmtId="10" xfId="0" applyBorder="1" applyFont="1" applyNumberFormat="1"/>
    <xf borderId="5" fillId="11" fontId="18" numFmtId="2" xfId="0" applyBorder="1" applyFont="1" applyNumberFormat="1"/>
    <xf borderId="5" fillId="0" fontId="18" numFmtId="0" xfId="0" applyBorder="1" applyFont="1"/>
    <xf borderId="7" fillId="5" fontId="19" numFmtId="0" xfId="0" applyAlignment="1" applyBorder="1" applyFont="1">
      <alignment shrinkToFit="0" wrapText="1"/>
    </xf>
    <xf borderId="11" fillId="5" fontId="19" numFmtId="0" xfId="0" applyAlignment="1" applyBorder="1" applyFont="1">
      <alignment shrinkToFit="0" wrapText="1"/>
    </xf>
    <xf borderId="14" fillId="4" fontId="22" numFmtId="0" xfId="0" applyAlignment="1" applyBorder="1" applyFont="1">
      <alignment horizontal="center" shrinkToFit="0" wrapText="1"/>
    </xf>
    <xf borderId="5" fillId="4" fontId="19" numFmtId="0" xfId="0" applyAlignment="1" applyBorder="1" applyFont="1">
      <alignment shrinkToFit="0" wrapText="1"/>
    </xf>
    <xf borderId="1" fillId="6" fontId="18" numFmtId="0" xfId="0" applyAlignment="1" applyBorder="1" applyFont="1">
      <alignment vertical="bottom"/>
    </xf>
    <xf borderId="2" fillId="6" fontId="18" numFmtId="0" xfId="0" applyAlignment="1" applyBorder="1" applyFont="1">
      <alignment vertical="bottom"/>
    </xf>
    <xf borderId="2" fillId="0" fontId="18" numFmtId="0" xfId="0" applyAlignment="1" applyBorder="1" applyFont="1">
      <alignment vertical="bottom"/>
    </xf>
    <xf borderId="3" fillId="0" fontId="18" numFmtId="0" xfId="0" applyAlignment="1" applyBorder="1" applyFont="1">
      <alignment vertical="bottom"/>
    </xf>
    <xf borderId="0" fillId="2" fontId="23" numFmtId="0" xfId="0" applyAlignment="1" applyFont="1">
      <alignment horizontal="center" readingOrder="0" textRotation="90" vertical="center"/>
    </xf>
    <xf borderId="0" fillId="10" fontId="1" numFmtId="2" xfId="0" applyAlignment="1" applyFont="1" applyNumberFormat="1">
      <alignment horizontal="center" shrinkToFit="0" vertical="center" wrapText="1"/>
    </xf>
    <xf borderId="7" fillId="5" fontId="19" numFmtId="2" xfId="0" applyAlignment="1" applyBorder="1" applyFont="1" applyNumberFormat="1">
      <alignment horizontal="center" shrinkToFit="0" vertical="center" wrapText="1"/>
    </xf>
    <xf borderId="0" fillId="15" fontId="23" numFmtId="0" xfId="0" applyAlignment="1" applyFill="1" applyFont="1">
      <alignment horizontal="center" textRotation="90" vertical="center"/>
    </xf>
    <xf borderId="7" fillId="15" fontId="19" numFmtId="0" xfId="0" applyAlignment="1" applyBorder="1" applyFont="1">
      <alignment horizontal="left" shrinkToFit="0" vertical="center" wrapText="1"/>
    </xf>
    <xf borderId="0" fillId="15" fontId="1" numFmtId="2" xfId="0" applyAlignment="1" applyFont="1" applyNumberFormat="1">
      <alignment horizontal="center" shrinkToFit="0" vertical="center" wrapText="1"/>
    </xf>
    <xf borderId="0" fillId="15" fontId="1" numFmtId="0" xfId="0" applyAlignment="1" applyFont="1">
      <alignment horizontal="center" shrinkToFit="0" vertical="center" wrapText="1"/>
    </xf>
    <xf borderId="15" fillId="16" fontId="14" numFmtId="0" xfId="0" applyAlignment="1" applyBorder="1" applyFill="1" applyFont="1">
      <alignment vertical="bottom"/>
    </xf>
    <xf borderId="15" fillId="16" fontId="18" numFmtId="0" xfId="0" applyAlignment="1" applyBorder="1" applyFont="1">
      <alignment vertical="bottom"/>
    </xf>
    <xf borderId="1" fillId="2" fontId="2" numFmtId="0" xfId="0" applyAlignment="1" applyBorder="1" applyFont="1">
      <alignment horizontal="center" shrinkToFit="0" wrapText="1"/>
    </xf>
    <xf borderId="0" fillId="17" fontId="18" numFmtId="0" xfId="0" applyFill="1" applyFont="1"/>
    <xf borderId="0" fillId="17" fontId="24" numFmtId="0" xfId="0" applyAlignment="1" applyFont="1">
      <alignment horizontal="left" readingOrder="0" shrinkToFit="0" vertical="center" wrapText="1"/>
    </xf>
    <xf borderId="9" fillId="17" fontId="24" numFmtId="0" xfId="0" applyAlignment="1" applyBorder="1" applyFont="1">
      <alignment shrinkToFit="0" wrapText="1"/>
    </xf>
    <xf borderId="10" fillId="17" fontId="24" numFmtId="0" xfId="0" applyAlignment="1" applyBorder="1" applyFont="1">
      <alignment shrinkToFit="0" wrapText="1"/>
    </xf>
    <xf borderId="1" fillId="18" fontId="25" numFmtId="0" xfId="0" applyAlignment="1" applyBorder="1" applyFill="1" applyFont="1">
      <alignment horizontal="center" readingOrder="0" shrinkToFit="0" wrapText="1"/>
    </xf>
    <xf borderId="1" fillId="18" fontId="25" numFmtId="0" xfId="0" applyAlignment="1" applyBorder="1" applyFont="1">
      <alignment horizontal="center" shrinkToFit="0" wrapText="1"/>
    </xf>
    <xf borderId="16" fillId="2" fontId="18" numFmtId="0" xfId="0" applyBorder="1" applyFont="1"/>
    <xf borderId="7" fillId="19" fontId="11" numFmtId="166" xfId="0" applyAlignment="1" applyBorder="1" applyFill="1" applyFont="1" applyNumberFormat="1">
      <alignment horizontal="center" shrinkToFit="0" wrapText="1"/>
    </xf>
    <xf borderId="0" fillId="2" fontId="12" numFmtId="0" xfId="0" applyAlignment="1" applyFont="1">
      <alignment horizontal="center" shrinkToFit="0" wrapText="1"/>
    </xf>
    <xf borderId="7" fillId="5" fontId="22" numFmtId="0" xfId="0" applyAlignment="1" applyBorder="1" applyFont="1">
      <alignment horizontal="center" shrinkToFit="0" wrapText="1"/>
    </xf>
    <xf borderId="7" fillId="4" fontId="26" numFmtId="166" xfId="0" applyAlignment="1" applyBorder="1" applyFont="1" applyNumberFormat="1">
      <alignment horizontal="center" shrinkToFit="0" vertical="center" wrapText="1"/>
    </xf>
    <xf borderId="7" fillId="4" fontId="27" numFmtId="166" xfId="0" applyAlignment="1" applyBorder="1" applyFont="1" applyNumberFormat="1">
      <alignment horizontal="center" shrinkToFit="0" vertical="center" wrapText="1"/>
    </xf>
    <xf borderId="7" fillId="10" fontId="28" numFmtId="0" xfId="0" applyAlignment="1" applyBorder="1" applyFont="1">
      <alignment horizontal="center" shrinkToFit="0" vertical="center" wrapText="1"/>
    </xf>
    <xf borderId="0" fillId="5" fontId="22" numFmtId="0" xfId="0" applyAlignment="1" applyFont="1">
      <alignment horizontal="center" shrinkToFit="0" wrapText="1"/>
    </xf>
    <xf borderId="7" fillId="5" fontId="29" numFmtId="0" xfId="0" applyAlignment="1" applyBorder="1" applyFont="1">
      <alignment horizontal="center" readingOrder="0" shrinkToFit="0" vertical="center" wrapText="1"/>
    </xf>
    <xf borderId="7" fillId="10" fontId="30" numFmtId="167" xfId="0" applyAlignment="1" applyBorder="1" applyFont="1" applyNumberFormat="1">
      <alignment horizontal="center" shrinkToFit="0" vertical="center" wrapText="1"/>
    </xf>
    <xf borderId="0" fillId="0" fontId="31" numFmtId="0" xfId="0" applyAlignment="1" applyFont="1">
      <alignment readingOrder="0"/>
    </xf>
    <xf borderId="7" fillId="14" fontId="22" numFmtId="0" xfId="0" applyAlignment="1" applyBorder="1" applyFont="1">
      <alignment horizontal="center" shrinkToFit="0" wrapText="1"/>
    </xf>
    <xf borderId="7" fillId="14" fontId="29" numFmtId="0" xfId="0" applyAlignment="1" applyBorder="1" applyFont="1">
      <alignment horizontal="center" readingOrder="0" shrinkToFit="0" vertical="center" wrapText="1"/>
    </xf>
    <xf borderId="7" fillId="10" fontId="30" numFmtId="10" xfId="0" applyAlignment="1" applyBorder="1" applyFont="1" applyNumberFormat="1">
      <alignment horizontal="center" shrinkToFit="0" vertical="center" wrapText="1"/>
    </xf>
    <xf borderId="7" fillId="9" fontId="32" numFmtId="0" xfId="0" applyAlignment="1" applyBorder="1" applyFont="1">
      <alignment horizontal="center" shrinkToFit="0" vertical="center" wrapText="1"/>
    </xf>
    <xf borderId="15" fillId="17" fontId="14" numFmtId="0" xfId="0" applyAlignment="1" applyBorder="1" applyFont="1">
      <alignment vertical="bottom"/>
    </xf>
    <xf borderId="0" fillId="17" fontId="31" numFmtId="0" xfId="0" applyFont="1"/>
    <xf borderId="7" fillId="4" fontId="33" numFmtId="166" xfId="0" applyAlignment="1" applyBorder="1" applyFont="1" applyNumberFormat="1">
      <alignment horizontal="center" shrinkToFit="0" vertical="center" wrapText="1"/>
    </xf>
    <xf borderId="15" fillId="17" fontId="34" numFmtId="0" xfId="0" applyAlignment="1" applyBorder="1" applyFont="1">
      <alignment horizontal="left" shrinkToFit="0" vertical="center" wrapText="1"/>
    </xf>
    <xf borderId="1" fillId="17" fontId="34" numFmtId="0" xfId="0" applyAlignment="1" applyBorder="1" applyFont="1">
      <alignment horizontal="left" shrinkToFit="0" vertical="center" wrapText="1"/>
    </xf>
    <xf borderId="7" fillId="4" fontId="35" numFmtId="10" xfId="0" applyAlignment="1" applyBorder="1" applyFont="1" applyNumberFormat="1">
      <alignment horizontal="center" shrinkToFit="0" vertical="center" wrapText="1"/>
    </xf>
    <xf borderId="7" fillId="4" fontId="36" numFmtId="0" xfId="0" applyAlignment="1" applyBorder="1" applyFont="1">
      <alignment horizontal="center" shrinkToFit="0" vertical="center" wrapText="1"/>
    </xf>
    <xf borderId="7" fillId="10" fontId="30" numFmtId="3" xfId="0" applyAlignment="1" applyBorder="1" applyFont="1" applyNumberFormat="1">
      <alignment horizontal="center" shrinkToFit="0" vertical="center" wrapText="1"/>
    </xf>
    <xf borderId="0" fillId="0" fontId="22" numFmtId="0" xfId="0" applyAlignment="1" applyFont="1">
      <alignment horizontal="center" shrinkToFit="0" wrapText="1"/>
    </xf>
    <xf borderId="0" fillId="9" fontId="37" numFmtId="167" xfId="0" applyAlignment="1" applyFont="1" applyNumberFormat="1">
      <alignment horizontal="center" shrinkToFit="0" vertical="center" wrapText="1"/>
    </xf>
    <xf borderId="0" fillId="9" fontId="32" numFmtId="0" xfId="0" applyAlignment="1" applyFont="1">
      <alignment horizontal="center" shrinkToFit="0" vertical="center" wrapText="1"/>
    </xf>
    <xf borderId="0" fillId="9" fontId="37" numFmtId="10" xfId="0" applyAlignment="1" applyFont="1" applyNumberFormat="1">
      <alignment horizontal="center" shrinkToFit="0" vertical="center" wrapText="1"/>
    </xf>
    <xf borderId="0" fillId="4" fontId="35" numFmtId="10" xfId="0" applyAlignment="1" applyFont="1" applyNumberFormat="1">
      <alignment horizontal="center" shrinkToFit="0" vertical="center" wrapText="1"/>
    </xf>
    <xf borderId="0" fillId="9" fontId="37" numFmtId="3" xfId="0" applyAlignment="1" applyFont="1" applyNumberFormat="1">
      <alignment horizontal="center" shrinkToFit="0" vertical="center" wrapText="1"/>
    </xf>
    <xf borderId="8" fillId="2" fontId="16" numFmtId="0" xfId="0" applyAlignment="1" applyBorder="1" applyFont="1">
      <alignment horizontal="center" readingOrder="0" shrinkToFit="0" vertical="center" wrapText="1"/>
    </xf>
    <xf borderId="7" fillId="7" fontId="4" numFmtId="166" xfId="0" applyAlignment="1" applyBorder="1" applyFont="1" applyNumberFormat="1">
      <alignment horizontal="center" shrinkToFit="0" vertical="center" wrapText="1"/>
    </xf>
    <xf borderId="7" fillId="7" fontId="11" numFmtId="0" xfId="0" applyAlignment="1" applyBorder="1" applyFont="1">
      <alignment horizontal="center" shrinkToFit="0" vertical="center" wrapText="1"/>
    </xf>
    <xf borderId="15" fillId="16" fontId="18" numFmtId="166" xfId="0" applyAlignment="1" applyBorder="1" applyFont="1" applyNumberFormat="1">
      <alignment vertical="bottom"/>
    </xf>
    <xf borderId="0" fillId="4" fontId="38" numFmtId="10" xfId="0" applyAlignment="1" applyFont="1" applyNumberFormat="1">
      <alignment horizontal="center" shrinkToFit="0" vertical="center" wrapText="1"/>
    </xf>
    <xf borderId="1" fillId="2" fontId="39" numFmtId="0" xfId="0" applyAlignment="1" applyBorder="1" applyFont="1">
      <alignment shrinkToFit="0" wrapText="1"/>
    </xf>
    <xf borderId="1" fillId="2" fontId="25" numFmtId="0" xfId="0" applyAlignment="1" applyBorder="1" applyFont="1">
      <alignment shrinkToFit="0" wrapText="1"/>
    </xf>
    <xf borderId="7" fillId="3" fontId="13" numFmtId="0" xfId="0" applyAlignment="1" applyBorder="1" applyFont="1">
      <alignment horizontal="center" readingOrder="0" shrinkToFit="0" wrapText="1"/>
    </xf>
    <xf borderId="7" fillId="3" fontId="13" numFmtId="0" xfId="0" applyAlignment="1" applyBorder="1" applyFont="1">
      <alignment horizontal="left" readingOrder="0" shrinkToFit="0" vertical="center" wrapText="1"/>
    </xf>
    <xf borderId="7" fillId="9" fontId="29" numFmtId="10" xfId="0" applyAlignment="1" applyBorder="1" applyFont="1" applyNumberFormat="1">
      <alignment horizontal="center" shrinkToFit="0" vertical="center" wrapText="1"/>
    </xf>
    <xf borderId="7" fillId="10" fontId="29" numFmtId="165" xfId="0" applyAlignment="1" applyBorder="1" applyFont="1" applyNumberFormat="1">
      <alignment horizontal="center" shrinkToFit="0" vertical="center" wrapText="1"/>
    </xf>
    <xf borderId="0" fillId="6" fontId="31" numFmtId="0" xfId="0" applyFont="1"/>
    <xf borderId="7" fillId="11" fontId="13" numFmtId="0" xfId="0" applyAlignment="1" applyBorder="1" applyFont="1">
      <alignment horizontal="left" readingOrder="0" shrinkToFit="0" vertical="center" wrapText="1"/>
    </xf>
    <xf borderId="7" fillId="20" fontId="21" numFmtId="164" xfId="0" applyAlignment="1" applyBorder="1" applyFill="1" applyFont="1" applyNumberFormat="1">
      <alignment horizontal="center" shrinkToFit="0" vertical="center" wrapText="1"/>
    </xf>
    <xf borderId="7" fillId="20" fontId="29" numFmtId="10" xfId="0" applyAlignment="1" applyBorder="1" applyFont="1" applyNumberFormat="1">
      <alignment horizontal="center" shrinkToFit="0" vertical="center" wrapText="1"/>
    </xf>
    <xf borderId="1" fillId="6" fontId="14" numFmtId="0" xfId="0" applyAlignment="1" applyBorder="1" applyFont="1">
      <alignment vertical="bottom"/>
    </xf>
    <xf borderId="1" fillId="21" fontId="4" numFmtId="0" xfId="0" applyAlignment="1" applyBorder="1" applyFill="1" applyFont="1">
      <alignment horizontal="left" readingOrder="0" shrinkToFit="0" vertical="center" wrapText="1"/>
    </xf>
    <xf borderId="3" fillId="6" fontId="4" numFmtId="0" xfId="0" applyAlignment="1" applyBorder="1" applyFont="1">
      <alignment horizontal="left" shrinkToFit="0" vertical="center" wrapText="1"/>
    </xf>
    <xf borderId="5" fillId="2" fontId="13" numFmtId="0" xfId="0" applyAlignment="1" applyBorder="1" applyFont="1">
      <alignment horizontal="center" readingOrder="0" shrinkToFit="0" vertical="center" wrapText="1"/>
    </xf>
    <xf borderId="7" fillId="4" fontId="1" numFmtId="164" xfId="0" applyAlignment="1" applyBorder="1" applyFont="1" applyNumberFormat="1">
      <alignment horizontal="left" shrinkToFit="0" vertical="center" wrapText="1"/>
    </xf>
    <xf borderId="6" fillId="0" fontId="29" numFmtId="0" xfId="0" applyAlignment="1" applyBorder="1" applyFont="1">
      <alignment horizontal="center" shrinkToFit="0" vertical="center" wrapText="1"/>
    </xf>
    <xf borderId="1" fillId="6" fontId="20" numFmtId="0" xfId="0" applyAlignment="1" applyBorder="1" applyFont="1">
      <alignment horizontal="left" shrinkToFit="0" vertical="center" wrapText="1"/>
    </xf>
    <xf borderId="1" fillId="2" fontId="39" numFmtId="0" xfId="0" applyAlignment="1" applyBorder="1" applyFont="1">
      <alignment horizontal="center" shrinkToFit="0" wrapText="1"/>
    </xf>
    <xf borderId="1" fillId="5" fontId="40" numFmtId="0" xfId="0" applyAlignment="1" applyBorder="1" applyFont="1">
      <alignment shrinkToFit="0" wrapText="1"/>
    </xf>
    <xf borderId="1" fillId="4" fontId="34" numFmtId="0" xfId="0" applyAlignment="1" applyBorder="1" applyFont="1">
      <alignment horizontal="center" shrinkToFit="0" wrapText="1"/>
    </xf>
    <xf borderId="0" fillId="2" fontId="41" numFmtId="0" xfId="0" applyAlignment="1" applyFont="1">
      <alignment horizontal="center" shrinkToFit="0" wrapText="1"/>
    </xf>
    <xf borderId="1" fillId="2" fontId="41" numFmtId="0" xfId="0" applyAlignment="1" applyBorder="1" applyFont="1">
      <alignment shrinkToFit="0" wrapText="1"/>
    </xf>
    <xf borderId="7" fillId="3" fontId="12" numFmtId="0" xfId="0" applyAlignment="1" applyBorder="1" applyFont="1">
      <alignment horizontal="center" shrinkToFit="0" wrapText="1"/>
    </xf>
    <xf borderId="7" fillId="3" fontId="12" numFmtId="0" xfId="0" applyAlignment="1" applyBorder="1" applyFont="1">
      <alignment horizontal="center" readingOrder="0" shrinkToFit="0" wrapText="1"/>
    </xf>
    <xf borderId="8" fillId="3" fontId="12" numFmtId="0" xfId="0" applyAlignment="1" applyBorder="1" applyFont="1">
      <alignment horizontal="center" readingOrder="0" shrinkToFit="0" wrapText="1"/>
    </xf>
    <xf borderId="11" fillId="3" fontId="12" numFmtId="0" xfId="0" applyAlignment="1" applyBorder="1" applyFont="1">
      <alignment horizontal="center" shrinkToFit="0" wrapText="1"/>
    </xf>
    <xf borderId="11" fillId="5" fontId="29" numFmtId="0" xfId="0" applyAlignment="1" applyBorder="1" applyFont="1">
      <alignment horizontal="left" shrinkToFit="0" vertical="center" wrapText="1"/>
    </xf>
    <xf borderId="11" fillId="9" fontId="42" numFmtId="164" xfId="0" applyAlignment="1" applyBorder="1" applyFont="1" applyNumberFormat="1">
      <alignment horizontal="center" shrinkToFit="0" vertical="center" wrapText="1"/>
    </xf>
    <xf borderId="8" fillId="20" fontId="43" numFmtId="164" xfId="0" applyAlignment="1" applyBorder="1" applyFont="1" applyNumberFormat="1">
      <alignment horizontal="center" shrinkToFit="0" vertical="center" wrapText="1"/>
    </xf>
    <xf borderId="17" fillId="10" fontId="44" numFmtId="0" xfId="0" applyAlignment="1" applyBorder="1" applyFont="1">
      <alignment horizontal="left" shrinkToFit="0" vertical="center" wrapText="1"/>
    </xf>
    <xf borderId="0" fillId="9" fontId="42" numFmtId="164" xfId="0" applyAlignment="1" applyFont="1" applyNumberFormat="1">
      <alignment horizontal="center" shrinkToFit="0" vertical="center" wrapText="1"/>
    </xf>
    <xf borderId="0" fillId="20" fontId="43" numFmtId="164" xfId="0" applyAlignment="1" applyFont="1" applyNumberFormat="1">
      <alignment horizontal="center" shrinkToFit="0" vertical="center" wrapText="1"/>
    </xf>
    <xf borderId="3" fillId="2" fontId="10" numFmtId="0" xfId="0" applyAlignment="1" applyBorder="1" applyFont="1">
      <alignment horizontal="center" shrinkToFit="0" vertical="center" wrapText="1"/>
    </xf>
    <xf borderId="7" fillId="0" fontId="15" numFmtId="0" xfId="0" applyAlignment="1" applyBorder="1" applyFont="1">
      <alignment horizontal="center" readingOrder="0" shrinkToFit="0" vertical="center" wrapText="1"/>
    </xf>
    <xf borderId="7" fillId="9" fontId="17" numFmtId="168" xfId="0" applyAlignment="1" applyBorder="1" applyFont="1" applyNumberFormat="1">
      <alignment horizontal="center" shrinkToFit="0" wrapText="1"/>
    </xf>
    <xf borderId="7" fillId="12" fontId="18" numFmtId="166" xfId="0" applyBorder="1" applyFont="1" applyNumberFormat="1"/>
    <xf borderId="7" fillId="5" fontId="19" numFmtId="166" xfId="0" applyAlignment="1" applyBorder="1" applyFont="1" applyNumberFormat="1">
      <alignment horizontal="center" shrinkToFit="0" wrapText="1"/>
    </xf>
    <xf borderId="7" fillId="4" fontId="17" numFmtId="166" xfId="0" applyAlignment="1" applyBorder="1" applyFont="1" applyNumberFormat="1">
      <alignment horizontal="center" shrinkToFit="0" vertical="center" wrapText="1"/>
    </xf>
    <xf borderId="7" fillId="12" fontId="17" numFmtId="168" xfId="0" applyAlignment="1" applyBorder="1" applyFont="1" applyNumberFormat="1">
      <alignment horizontal="center" shrinkToFit="0" wrapText="1"/>
    </xf>
    <xf borderId="7" fillId="9" fontId="17" numFmtId="169" xfId="0" applyAlignment="1" applyBorder="1" applyFont="1" applyNumberFormat="1">
      <alignment horizontal="center" shrinkToFit="0" wrapText="1"/>
    </xf>
    <xf borderId="7" fillId="20" fontId="17" numFmtId="166" xfId="0" applyAlignment="1" applyBorder="1" applyFont="1" applyNumberFormat="1">
      <alignment horizontal="center" shrinkToFit="0" vertical="center" wrapText="1"/>
    </xf>
    <xf borderId="7" fillId="10" fontId="18" numFmtId="166" xfId="0" applyBorder="1" applyFont="1" applyNumberFormat="1"/>
    <xf borderId="7" fillId="13" fontId="17" numFmtId="4" xfId="0" applyAlignment="1" applyBorder="1" applyFont="1" applyNumberFormat="1">
      <alignment horizontal="center" shrinkToFit="0" wrapText="1"/>
    </xf>
    <xf borderId="7" fillId="5" fontId="19" numFmtId="4" xfId="0" applyAlignment="1" applyBorder="1" applyFont="1" applyNumberFormat="1">
      <alignment horizontal="center" shrinkToFit="0" wrapText="1"/>
    </xf>
    <xf borderId="7" fillId="4" fontId="14" numFmtId="0" xfId="0" applyAlignment="1" applyBorder="1" applyFont="1">
      <alignment horizontal="center" shrinkToFit="0" vertical="center" wrapText="1"/>
    </xf>
    <xf borderId="7" fillId="13" fontId="17" numFmtId="10" xfId="0" applyAlignment="1" applyBorder="1" applyFont="1" applyNumberFormat="1">
      <alignment horizontal="center" shrinkToFit="0" wrapText="1"/>
    </xf>
    <xf borderId="7" fillId="5" fontId="19" numFmtId="10" xfId="0" applyAlignment="1" applyBorder="1" applyFont="1" applyNumberFormat="1">
      <alignment horizontal="center" shrinkToFit="0" wrapText="1"/>
    </xf>
    <xf borderId="7" fillId="10" fontId="17" numFmtId="10" xfId="0" applyAlignment="1" applyBorder="1" applyFont="1" applyNumberFormat="1">
      <alignment horizontal="center" shrinkToFit="0" vertical="center" wrapText="1"/>
    </xf>
    <xf borderId="7" fillId="10" fontId="17" numFmtId="3" xfId="0" applyAlignment="1" applyBorder="1" applyFont="1" applyNumberFormat="1">
      <alignment horizontal="center" shrinkToFit="0" vertical="center" wrapText="1"/>
    </xf>
    <xf borderId="7" fillId="13" fontId="17" numFmtId="49" xfId="0" applyAlignment="1" applyBorder="1" applyFont="1" applyNumberFormat="1">
      <alignment horizontal="center" shrinkToFit="0" wrapText="1"/>
    </xf>
    <xf borderId="11" fillId="4" fontId="17" numFmtId="49" xfId="0" applyAlignment="1" applyBorder="1" applyFont="1" applyNumberFormat="1">
      <alignment horizontal="center" shrinkToFit="0" vertical="center" wrapText="1"/>
    </xf>
    <xf borderId="11" fillId="4" fontId="14" numFmtId="0" xfId="0" applyAlignment="1" applyBorder="1" applyFont="1">
      <alignment horizontal="center" shrinkToFit="0" vertical="center" wrapText="1"/>
    </xf>
    <xf borderId="7" fillId="4" fontId="18" numFmtId="166" xfId="0" applyBorder="1" applyFont="1" applyNumberFormat="1"/>
    <xf borderId="7" fillId="5" fontId="18" numFmtId="166" xfId="0" applyBorder="1" applyFont="1" applyNumberFormat="1"/>
    <xf borderId="7" fillId="4" fontId="45" numFmtId="0" xfId="0" applyAlignment="1" applyBorder="1" applyFont="1">
      <alignment readingOrder="0" shrinkToFit="0" wrapText="1"/>
    </xf>
    <xf borderId="7" fillId="9" fontId="46" numFmtId="164" xfId="0" applyAlignment="1" applyBorder="1" applyFont="1" applyNumberFormat="1">
      <alignment horizontal="center" shrinkToFit="0" wrapText="1"/>
    </xf>
    <xf borderId="7" fillId="9" fontId="18" numFmtId="10" xfId="0" applyBorder="1" applyFont="1" applyNumberFormat="1"/>
    <xf borderId="7" fillId="9" fontId="46" numFmtId="164" xfId="0" applyAlignment="1" applyBorder="1" applyFont="1" applyNumberFormat="1">
      <alignment horizontal="center" shrinkToFit="0" vertical="bottom" wrapText="1"/>
    </xf>
    <xf borderId="1" fillId="2" fontId="25" numFmtId="0" xfId="0" applyAlignment="1" applyBorder="1" applyFont="1">
      <alignment shrinkToFit="0" wrapText="1"/>
    </xf>
    <xf borderId="5" fillId="3" fontId="13" numFmtId="0" xfId="0" applyAlignment="1" applyBorder="1" applyFont="1">
      <alignment horizontal="center" readingOrder="0" shrinkToFit="0" vertical="center" wrapText="1"/>
    </xf>
    <xf borderId="7" fillId="3" fontId="13" numFmtId="0" xfId="0" applyAlignment="1" applyBorder="1" applyFont="1">
      <alignment horizontal="left" shrinkToFit="0" vertical="center" wrapText="1"/>
    </xf>
    <xf borderId="7" fillId="9" fontId="21" numFmtId="168" xfId="0" applyAlignment="1" applyBorder="1" applyFont="1" applyNumberFormat="1">
      <alignment horizontal="center" shrinkToFit="0" vertical="center" wrapText="1"/>
    </xf>
    <xf borderId="7" fillId="9" fontId="29" numFmtId="168" xfId="0" applyAlignment="1" applyBorder="1" applyFont="1" applyNumberFormat="1">
      <alignment horizontal="center" shrinkToFit="0" vertical="center" wrapText="1"/>
    </xf>
    <xf borderId="7" fillId="10" fontId="29" numFmtId="168" xfId="0" applyAlignment="1" applyBorder="1" applyFont="1" applyNumberFormat="1">
      <alignment horizontal="center" shrinkToFit="0" vertical="center" wrapText="1"/>
    </xf>
    <xf borderId="0" fillId="6" fontId="31" numFmtId="0" xfId="0" applyFont="1"/>
    <xf borderId="7" fillId="9" fontId="29" numFmtId="0" xfId="0" applyAlignment="1" applyBorder="1" applyFont="1">
      <alignment horizontal="center" shrinkToFit="0" vertical="center" wrapText="1"/>
    </xf>
    <xf borderId="5" fillId="2" fontId="13" numFmtId="0" xfId="0" applyAlignment="1" applyBorder="1" applyFont="1">
      <alignment horizontal="center" shrinkToFit="0" vertical="center" wrapText="1"/>
    </xf>
    <xf borderId="6" fillId="22" fontId="29" numFmtId="0" xfId="0" applyAlignment="1" applyBorder="1" applyFill="1" applyFont="1">
      <alignment horizontal="center" shrinkToFit="0" vertical="center" wrapText="1"/>
    </xf>
    <xf borderId="6" fillId="19" fontId="29" numFmtId="0" xfId="0" applyAlignment="1" applyBorder="1" applyFont="1">
      <alignment horizontal="center" shrinkToFit="0" vertical="center" wrapText="1"/>
    </xf>
    <xf borderId="0" fillId="0" fontId="31" numFmtId="0" xfId="0" applyFont="1"/>
    <xf borderId="18" fillId="17" fontId="24" numFmtId="0" xfId="0" applyAlignment="1" applyBorder="1" applyFont="1">
      <alignment horizontal="left" readingOrder="0" shrinkToFit="0" vertical="center" wrapText="1"/>
    </xf>
    <xf borderId="18" fillId="0" fontId="3" numFmtId="0" xfId="0" applyBorder="1" applyFont="1"/>
    <xf borderId="7" fillId="10" fontId="26" numFmtId="166" xfId="0" applyAlignment="1" applyBorder="1" applyFont="1" applyNumberFormat="1">
      <alignment horizontal="center" shrinkToFit="0" vertical="center" wrapText="1"/>
    </xf>
    <xf borderId="8" fillId="2" fontId="16" numFmtId="0" xfId="0" applyAlignment="1" applyBorder="1" applyFont="1">
      <alignment horizontal="center" shrinkToFit="0" vertical="center" wrapText="1"/>
    </xf>
    <xf borderId="11" fillId="9" fontId="42" numFmtId="166" xfId="0" applyAlignment="1" applyBorder="1" applyFont="1" applyNumberFormat="1">
      <alignment horizontal="center" shrinkToFit="0" vertical="center" wrapText="1"/>
    </xf>
    <xf borderId="6" fillId="10" fontId="44" numFmtId="0" xfId="0" applyAlignment="1" applyBorder="1" applyFont="1">
      <alignment horizontal="left" shrinkToFit="0" vertical="center" wrapText="1"/>
    </xf>
    <xf borderId="0" fillId="5" fontId="29" numFmtId="0" xfId="0" applyAlignment="1" applyFont="1">
      <alignment horizontal="left" shrinkToFit="0" vertical="center" wrapText="1"/>
    </xf>
    <xf borderId="0" fillId="9" fontId="42" numFmtId="166" xfId="0" applyAlignment="1" applyFont="1" applyNumberFormat="1">
      <alignment horizontal="center" shrinkToFit="0" vertical="center" wrapText="1"/>
    </xf>
    <xf borderId="0" fillId="10" fontId="44" numFmtId="0" xfId="0" applyAlignment="1" applyFont="1">
      <alignment horizontal="left" shrinkToFit="0" vertical="center" wrapText="1"/>
    </xf>
    <xf borderId="1" fillId="2" fontId="41" numFmtId="0" xfId="0" applyAlignment="1" applyBorder="1" applyFont="1">
      <alignment horizontal="left" shrinkToFit="0" vertical="center" wrapText="1"/>
    </xf>
    <xf borderId="7" fillId="3" fontId="16" numFmtId="0" xfId="0" applyAlignment="1" applyBorder="1" applyFont="1">
      <alignment horizontal="center" shrinkToFit="0" vertical="center" wrapText="1"/>
    </xf>
    <xf borderId="8" fillId="3" fontId="16" numFmtId="0" xfId="0" applyAlignment="1" applyBorder="1" applyFont="1">
      <alignment horizontal="center" shrinkToFit="0" vertical="center" wrapText="1"/>
    </xf>
    <xf borderId="0" fillId="2" fontId="41" numFmtId="0" xfId="0" applyAlignment="1" applyFont="1">
      <alignment horizontal="center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7" fillId="11" fontId="1" numFmtId="169" xfId="0" applyAlignment="1" applyBorder="1" applyFont="1" applyNumberFormat="1">
      <alignment horizontal="center" shrinkToFit="0" vertical="center" wrapText="1"/>
    </xf>
    <xf borderId="7" fillId="11" fontId="18" numFmtId="169" xfId="0" applyAlignment="1" applyBorder="1" applyFont="1" applyNumberFormat="1">
      <alignment horizontal="center" shrinkToFit="0" wrapText="1"/>
    </xf>
    <xf borderId="7" fillId="0" fontId="1" numFmtId="0" xfId="0" applyAlignment="1" applyBorder="1" applyFont="1">
      <alignment horizontal="left" shrinkToFit="0" vertical="center" wrapText="1"/>
    </xf>
    <xf borderId="11" fillId="0" fontId="1" numFmtId="0" xfId="0" applyAlignment="1" applyBorder="1" applyFont="1">
      <alignment horizontal="left" shrinkToFit="0" vertical="center" wrapText="1"/>
    </xf>
    <xf borderId="0" fillId="6" fontId="31" numFmtId="169" xfId="0" applyFont="1" applyNumberFormat="1"/>
    <xf borderId="5" fillId="0" fontId="1" numFmtId="0" xfId="0" applyAlignment="1" applyBorder="1" applyFont="1">
      <alignment horizontal="left" shrinkToFit="0" vertical="center" wrapText="1"/>
    </xf>
    <xf borderId="2" fillId="6" fontId="14" numFmtId="169" xfId="0" applyAlignment="1" applyBorder="1" applyFont="1" applyNumberFormat="1">
      <alignment vertical="bottom"/>
    </xf>
    <xf borderId="2" fillId="6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5" fontId="19" numFmtId="2" xfId="0" applyAlignment="1" applyFont="1" applyNumberFormat="1">
      <alignment horizontal="center" shrinkToFit="0" vertical="center" wrapText="1"/>
    </xf>
    <xf borderId="0" fillId="15" fontId="19" numFmtId="0" xfId="0" applyAlignment="1" applyFont="1">
      <alignment horizontal="center" shrinkToFit="0" vertical="center" wrapText="1"/>
    </xf>
    <xf borderId="1" fillId="4" fontId="20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5">
    <dxf>
      <font>
        <color rgb="FF000000"/>
      </font>
      <fill>
        <patternFill patternType="solid">
          <fgColor rgb="FFDD7E6B"/>
          <bgColor rgb="FFDD7E6B"/>
        </patternFill>
      </fill>
      <border/>
    </dxf>
    <dxf>
      <font>
        <color rgb="FF000000"/>
      </font>
      <fill>
        <patternFill patternType="solid">
          <fgColor rgb="FFB6D7A8"/>
          <bgColor rgb="FFB6D7A8"/>
        </patternFill>
      </fill>
      <border/>
    </dxf>
    <dxf>
      <font>
        <color rgb="FF888888"/>
      </font>
      <fill>
        <patternFill patternType="solid">
          <fgColor rgb="FFF2F2F2"/>
          <bgColor rgb="FFF2F2F2"/>
        </patternFill>
      </fill>
      <border/>
    </dxf>
    <dxf>
      <font>
        <b/>
        <color rgb="FFCC0000"/>
      </font>
      <fill>
        <patternFill patternType="solid">
          <fgColor rgb="FFFFE0E0"/>
          <bgColor rgb="FFFFE0E0"/>
        </patternFill>
      </fill>
      <border/>
    </dxf>
    <dxf>
      <font>
        <b/>
        <color rgb="FF70AD5D"/>
      </font>
      <fill>
        <patternFill patternType="solid">
          <fgColor rgb="FFE2EFDA"/>
          <bgColor rgb="FFE2EFDA"/>
        </patternFill>
      </fill>
      <border/>
    </dxf>
    <dxf>
      <font>
        <color rgb="FF70AD47"/>
      </font>
      <fill>
        <patternFill patternType="solid">
          <fgColor rgb="FFE2EFDA"/>
          <bgColor rgb="FFE2EFDA"/>
        </patternFill>
      </fill>
      <border/>
    </dxf>
    <dxf>
      <font>
        <color rgb="FFCC0023"/>
      </font>
      <fill>
        <patternFill patternType="solid">
          <fgColor rgb="FFFFE0E0"/>
          <bgColor rgb="FFFFE0E0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>
        <color rgb="FFFF0023"/>
      </font>
      <fill>
        <patternFill patternType="solid">
          <fgColor rgb="FFFFE0E0"/>
          <bgColor rgb="FFFFE0E0"/>
        </patternFill>
      </fill>
      <border/>
    </dxf>
    <dxf>
      <font>
        <color rgb="FF65A557"/>
      </font>
      <fill>
        <patternFill patternType="solid">
          <fgColor rgb="FFB7E1CD"/>
          <bgColor rgb="FFB7E1CD"/>
        </patternFill>
      </fill>
      <border/>
    </dxf>
    <dxf>
      <font>
        <color rgb="FFFF0000"/>
      </font>
      <fill>
        <patternFill patternType="solid">
          <fgColor rgb="FFFFE0E0"/>
          <bgColor rgb="FFFFE0E0"/>
        </patternFill>
      </fill>
      <border/>
    </dxf>
    <dxf>
      <font>
        <color rgb="FF70AD47"/>
      </font>
      <fill>
        <patternFill patternType="solid">
          <fgColor rgb="FFB7E1CD"/>
          <bgColor rgb="FFB7E1CD"/>
        </patternFill>
      </fill>
      <border/>
    </dxf>
    <dxf>
      <font>
        <color rgb="FFFF004D"/>
      </font>
      <fill>
        <patternFill patternType="solid">
          <fgColor rgb="FFFFE0E0"/>
          <bgColor rgb="FFFFE0E0"/>
        </patternFill>
      </fill>
      <border/>
    </dxf>
    <dxf>
      <font>
        <color rgb="FFFF4D00"/>
      </font>
      <fill>
        <patternFill patternType="solid">
          <fgColor rgb="FFFFE0E0"/>
          <bgColor rgb="FFFFE0E0"/>
        </patternFill>
      </fill>
      <border/>
    </dxf>
    <dxf>
      <font>
        <color rgb="FF000000"/>
      </font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b="1" i="0">
                <a:solidFill>
                  <a:srgbClr val="000000"/>
                </a:solidFill>
                <a:latin typeface="Roboto"/>
              </a:rPr>
              <a:t>RESUMEN SEMANA 1</a:t>
            </a:r>
          </a:p>
        </c:rich>
      </c:tx>
      <c:overlay val="0"/>
    </c:title>
    <c:plotArea>
      <c:layout>
        <c:manualLayout>
          <c:xMode val="edge"/>
          <c:yMode val="edge"/>
          <c:x val="0.140746500777605"/>
          <c:y val="0.1488245172124265"/>
          <c:w val="0.732099290435459"/>
          <c:h val="0.5402114305660566"/>
        </c:manualLayout>
      </c:layout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'VISUAL SEG. SEMANAL EJEMPLO 1'!$B$6:$B$15</c:f>
            </c:strRef>
          </c:cat>
          <c:val>
            <c:numRef>
              <c:f>'VISUAL SEG. SEMANAL EJEMPLO 1'!$C$6:$C$14</c:f>
              <c:numCache/>
            </c:numRef>
          </c:val>
        </c:ser>
        <c:axId val="1993440665"/>
        <c:axId val="247991124"/>
      </c:barChart>
      <c:lineChart>
        <c:varyColors val="0"/>
        <c:ser>
          <c:idx val="1"/>
          <c:order val="1"/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'VISUAL SEG. SEMANAL EJEMPLO 1'!$B$6:$B$15</c:f>
            </c:strRef>
          </c:cat>
          <c:val>
            <c:numRef>
              <c:f>'VISUAL SEG. SEMANAL EJEMPLO 1'!$E$6:$E$14</c:f>
              <c:numCache/>
            </c:numRef>
          </c:val>
          <c:smooth val="0"/>
        </c:ser>
        <c:axId val="1993440665"/>
        <c:axId val="247991124"/>
      </c:lineChart>
      <c:catAx>
        <c:axId val="19934406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</a:p>
        </c:txPr>
        <c:crossAx val="247991124"/>
      </c:catAx>
      <c:valAx>
        <c:axId val="2479911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KPI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99344066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b="1" i="0">
                <a:solidFill>
                  <a:srgbClr val="000000"/>
                </a:solidFill>
                <a:latin typeface="Roboto"/>
              </a:rPr>
              <a:t>RESUMEN SEMANA 2</a:t>
            </a:r>
          </a:p>
        </c:rich>
      </c:tx>
      <c:overlay val="0"/>
    </c:title>
    <c:plotArea>
      <c:layout>
        <c:manualLayout>
          <c:xMode val="edge"/>
          <c:yMode val="edge"/>
          <c:x val="0.140746500777605"/>
          <c:y val="0.1488245172124265"/>
          <c:w val="0.732099290435459"/>
          <c:h val="0.5402114305660566"/>
        </c:manualLayout>
      </c:layout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'VISUAL SEG. SEMANAL EJEMPLO 1'!$B$6:$B$15</c:f>
            </c:strRef>
          </c:cat>
          <c:val>
            <c:numRef>
              <c:f>'VISUAL SEG. SEMANAL EJEMPLO 1'!$H$6:$H$14</c:f>
              <c:numCache/>
            </c:numRef>
          </c:val>
        </c:ser>
        <c:axId val="1728448088"/>
        <c:axId val="911628499"/>
      </c:barChart>
      <c:lineChart>
        <c:varyColors val="0"/>
        <c:ser>
          <c:idx val="1"/>
          <c:order val="1"/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'VISUAL SEG. SEMANAL EJEMPLO 1'!$B$6:$B$15</c:f>
            </c:strRef>
          </c:cat>
          <c:val>
            <c:numRef>
              <c:f>'VISUAL SEG. SEMANAL EJEMPLO 1'!$J$6:$J$14</c:f>
              <c:numCache/>
            </c:numRef>
          </c:val>
          <c:smooth val="0"/>
        </c:ser>
        <c:axId val="1728448088"/>
        <c:axId val="911628499"/>
      </c:lineChart>
      <c:catAx>
        <c:axId val="1728448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</a:p>
        </c:txPr>
        <c:crossAx val="911628499"/>
      </c:catAx>
      <c:valAx>
        <c:axId val="911628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KPI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728448088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b="1" i="0">
                <a:solidFill>
                  <a:srgbClr val="000000"/>
                </a:solidFill>
                <a:latin typeface="Roboto"/>
              </a:rPr>
              <a:t>RESUMEN SEMANA 3</a:t>
            </a:r>
          </a:p>
        </c:rich>
      </c:tx>
      <c:layout>
        <c:manualLayout>
          <c:xMode val="edge"/>
          <c:yMode val="edge"/>
          <c:x val="0.0243675372451007"/>
          <c:y val="0.05039718768107234"/>
        </c:manualLayout>
      </c:layout>
      <c:overlay val="0"/>
    </c:title>
    <c:plotArea>
      <c:layout>
        <c:manualLayout>
          <c:xMode val="edge"/>
          <c:yMode val="edge"/>
          <c:x val="0.140746500777605"/>
          <c:y val="0.1488245172124265"/>
          <c:w val="0.732099290435459"/>
          <c:h val="0.5402114305660566"/>
        </c:manualLayout>
      </c:layout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'VISUAL SEG. SEMANAL EJEMPLO 1'!$B$6:$B$15</c:f>
            </c:strRef>
          </c:cat>
          <c:val>
            <c:numRef>
              <c:f>'VISUAL SEG. SEMANAL EJEMPLO 1'!$M$6:$M$14</c:f>
              <c:numCache/>
            </c:numRef>
          </c:val>
        </c:ser>
        <c:axId val="114596912"/>
        <c:axId val="78633268"/>
      </c:barChart>
      <c:lineChart>
        <c:varyColors val="0"/>
        <c:ser>
          <c:idx val="1"/>
          <c:order val="1"/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'VISUAL SEG. SEMANAL EJEMPLO 1'!$B$6:$B$15</c:f>
            </c:strRef>
          </c:cat>
          <c:val>
            <c:numRef>
              <c:f>'VISUAL SEG. SEMANAL EJEMPLO 1'!$O$6:$O$14</c:f>
              <c:numCache/>
            </c:numRef>
          </c:val>
          <c:smooth val="0"/>
        </c:ser>
        <c:axId val="114596912"/>
        <c:axId val="78633268"/>
      </c:lineChart>
      <c:catAx>
        <c:axId val="114596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</a:p>
        </c:txPr>
        <c:crossAx val="78633268"/>
      </c:catAx>
      <c:valAx>
        <c:axId val="786332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KPI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14596912"/>
      </c:valAx>
    </c:plotArea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27</xdr:row>
      <xdr:rowOff>85725</xdr:rowOff>
    </xdr:from>
    <xdr:ext cx="5210175" cy="3390900"/>
    <xdr:graphicFrame>
      <xdr:nvGraphicFramePr>
        <xdr:cNvPr id="1609565587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28575</xdr:colOff>
      <xdr:row>27</xdr:row>
      <xdr:rowOff>85725</xdr:rowOff>
    </xdr:from>
    <xdr:ext cx="5210175" cy="3390900"/>
    <xdr:graphicFrame>
      <xdr:nvGraphicFramePr>
        <xdr:cNvPr id="272105451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27</xdr:row>
      <xdr:rowOff>85725</xdr:rowOff>
    </xdr:from>
    <xdr:ext cx="5210175" cy="3390900"/>
    <xdr:graphicFrame>
      <xdr:nvGraphicFramePr>
        <xdr:cNvPr id="755201779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25"/>
    <col customWidth="1" min="2" max="6" width="50.0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1.5" customHeight="1">
      <c r="A2" s="1"/>
      <c r="B2" s="2" t="s">
        <v>0</v>
      </c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5.5" customHeight="1">
      <c r="A4" s="1"/>
      <c r="B4" s="5" t="s">
        <v>1</v>
      </c>
      <c r="C4" s="3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6" t="s">
        <v>2</v>
      </c>
      <c r="C5" s="3"/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7" t="s">
        <v>3</v>
      </c>
      <c r="D6" s="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75" customHeight="1">
      <c r="A7" s="1"/>
      <c r="B7" s="1"/>
      <c r="C7" s="9" t="s">
        <v>4</v>
      </c>
      <c r="D7" s="10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7.5" customHeight="1">
      <c r="A8" s="1"/>
      <c r="B8" s="11"/>
      <c r="C8" s="3"/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1"/>
      <c r="B9" s="5" t="s">
        <v>5</v>
      </c>
      <c r="C9" s="3"/>
      <c r="D9" s="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6" t="s">
        <v>6</v>
      </c>
      <c r="C10" s="3"/>
      <c r="D10" s="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1"/>
      <c r="C11" s="7" t="s">
        <v>7</v>
      </c>
      <c r="D11" s="8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1"/>
      <c r="C12" s="9" t="s">
        <v>8</v>
      </c>
      <c r="D12" s="10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7.5" customHeight="1">
      <c r="A13" s="1"/>
      <c r="B13" s="11"/>
      <c r="C13" s="3"/>
      <c r="D13" s="4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1"/>
      <c r="B14" s="12" t="s">
        <v>9</v>
      </c>
      <c r="C14" s="3"/>
      <c r="D14" s="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6" t="s">
        <v>10</v>
      </c>
      <c r="C15" s="3"/>
      <c r="D15" s="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"/>
      <c r="B16" s="1"/>
      <c r="C16" s="7" t="s">
        <v>11</v>
      </c>
      <c r="D16" s="8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7.5" customHeight="1">
      <c r="A17" s="1"/>
      <c r="B17" s="11"/>
      <c r="C17" s="3"/>
      <c r="D17" s="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0">
    <mergeCell ref="B17:D17"/>
    <mergeCell ref="B14:D14"/>
    <mergeCell ref="B15:D15"/>
    <mergeCell ref="B2:D2"/>
    <mergeCell ref="B8:D8"/>
    <mergeCell ref="B13:D13"/>
    <mergeCell ref="B5:D5"/>
    <mergeCell ref="B10:D10"/>
    <mergeCell ref="B9:D9"/>
    <mergeCell ref="B4:D4"/>
  </mergeCells>
  <hyperlinks>
    <hyperlink display="  ➜  📊  Datos Crudos 1" location="'DATOS CRUDOS EJEMPLO'!A1" ref="C6"/>
    <hyperlink display="  ➜  📋  Datos Crudos 2" location="'DATOS SECCION'!A1" ref="C7"/>
    <hyperlink display="  ➜  📅  Seg. Semanal" location="'VISUAL SEG. SEMANAL PLANTILLA'!A1" ref="C11"/>
    <hyperlink display="  ➜  📆  Seg. Mensual" location="'VISUAL SEG MENSUAL PLANTILLA'!A1" ref="C12"/>
    <hyperlink display="  ➜  🚨  Visual Sección" location="'VISUAL SEMANAL SECCION'!A1" ref="C16"/>
  </hyperlink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75"/>
    <col customWidth="1" min="2" max="2" width="22.75"/>
    <col customWidth="1" min="3" max="17" width="10.5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2.0" customHeight="1">
      <c r="A2" s="1"/>
      <c r="B2" s="13" t="s">
        <v>12</v>
      </c>
      <c r="C2" s="3"/>
      <c r="D2" s="3"/>
      <c r="E2" s="3"/>
      <c r="F2" s="3"/>
      <c r="G2" s="3"/>
      <c r="H2" s="3"/>
      <c r="I2" s="3"/>
      <c r="J2" s="3"/>
      <c r="K2" s="3"/>
      <c r="L2" s="4"/>
      <c r="M2" s="14"/>
      <c r="N2" s="14"/>
      <c r="O2" s="14"/>
      <c r="P2" s="14"/>
      <c r="Q2" s="14"/>
    </row>
    <row r="3" ht="6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26.25" customHeight="1">
      <c r="A4" s="1"/>
      <c r="B4" s="15" t="s">
        <v>13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/>
    </row>
    <row r="5" ht="26.25" customHeight="1">
      <c r="A5" s="1"/>
      <c r="B5" s="16" t="s">
        <v>14</v>
      </c>
      <c r="C5" s="17" t="s">
        <v>15</v>
      </c>
      <c r="D5" s="18"/>
      <c r="E5" s="19"/>
      <c r="F5" s="20" t="s">
        <v>16</v>
      </c>
      <c r="G5" s="18"/>
      <c r="H5" s="19"/>
      <c r="I5" s="17" t="s">
        <v>17</v>
      </c>
      <c r="J5" s="18"/>
      <c r="K5" s="19"/>
      <c r="L5" s="20" t="s">
        <v>18</v>
      </c>
      <c r="M5" s="18"/>
      <c r="N5" s="19"/>
      <c r="O5" s="17" t="s">
        <v>19</v>
      </c>
      <c r="P5" s="18"/>
      <c r="Q5" s="19"/>
    </row>
    <row r="6" ht="26.25" customHeight="1">
      <c r="A6" s="1"/>
      <c r="B6" s="21"/>
      <c r="C6" s="22" t="s">
        <v>20</v>
      </c>
      <c r="D6" s="22" t="s">
        <v>20</v>
      </c>
      <c r="E6" s="22" t="s">
        <v>20</v>
      </c>
      <c r="F6" s="23" t="s">
        <v>20</v>
      </c>
      <c r="G6" s="23" t="s">
        <v>20</v>
      </c>
      <c r="H6" s="23" t="s">
        <v>20</v>
      </c>
      <c r="I6" s="22" t="s">
        <v>20</v>
      </c>
      <c r="J6" s="22" t="s">
        <v>20</v>
      </c>
      <c r="K6" s="22" t="s">
        <v>20</v>
      </c>
      <c r="L6" s="23" t="s">
        <v>20</v>
      </c>
      <c r="M6" s="23" t="s">
        <v>20</v>
      </c>
      <c r="N6" s="23" t="s">
        <v>20</v>
      </c>
      <c r="O6" s="22" t="s">
        <v>20</v>
      </c>
      <c r="P6" s="22" t="s">
        <v>20</v>
      </c>
      <c r="Q6" s="22" t="s">
        <v>20</v>
      </c>
    </row>
    <row r="7" ht="26.25" customHeight="1">
      <c r="A7" s="1"/>
      <c r="B7" s="24" t="s">
        <v>21</v>
      </c>
      <c r="C7" s="25"/>
      <c r="D7" s="26"/>
      <c r="E7" s="27"/>
      <c r="F7" s="25"/>
      <c r="G7" s="26"/>
      <c r="H7" s="27"/>
      <c r="I7" s="25"/>
      <c r="J7" s="26"/>
      <c r="K7" s="27"/>
      <c r="L7" s="25"/>
      <c r="M7" s="26"/>
      <c r="N7" s="27"/>
      <c r="O7" s="25"/>
      <c r="P7" s="26"/>
      <c r="Q7" s="27"/>
    </row>
    <row r="8" ht="26.25" customHeight="1">
      <c r="A8" s="1"/>
      <c r="B8" s="24" t="s">
        <v>22</v>
      </c>
      <c r="C8" s="25"/>
      <c r="D8" s="26"/>
      <c r="E8" s="27"/>
      <c r="F8" s="25"/>
      <c r="G8" s="26"/>
      <c r="H8" s="27"/>
      <c r="I8" s="25"/>
      <c r="J8" s="26"/>
      <c r="K8" s="27"/>
      <c r="L8" s="25"/>
      <c r="M8" s="26"/>
      <c r="N8" s="27"/>
      <c r="O8" s="25"/>
      <c r="P8" s="26"/>
      <c r="Q8" s="27"/>
    </row>
    <row r="9" ht="26.25" customHeight="1">
      <c r="A9" s="1"/>
      <c r="B9" s="24" t="s">
        <v>23</v>
      </c>
      <c r="C9" s="25"/>
      <c r="D9" s="26"/>
      <c r="E9" s="27"/>
      <c r="F9" s="25"/>
      <c r="G9" s="26"/>
      <c r="H9" s="27"/>
      <c r="I9" s="25"/>
      <c r="J9" s="26"/>
      <c r="K9" s="27"/>
      <c r="L9" s="25"/>
      <c r="M9" s="26"/>
      <c r="N9" s="27"/>
      <c r="O9" s="25"/>
      <c r="P9" s="26"/>
      <c r="Q9" s="27"/>
    </row>
    <row r="10" ht="26.25" customHeight="1">
      <c r="A10" s="1"/>
      <c r="B10" s="24" t="s">
        <v>24</v>
      </c>
      <c r="C10" s="25"/>
      <c r="D10" s="26"/>
      <c r="E10" s="27"/>
      <c r="F10" s="25"/>
      <c r="G10" s="26"/>
      <c r="H10" s="27"/>
      <c r="I10" s="25"/>
      <c r="J10" s="26"/>
      <c r="K10" s="27"/>
      <c r="L10" s="25"/>
      <c r="M10" s="26"/>
      <c r="N10" s="27"/>
      <c r="O10" s="25"/>
      <c r="P10" s="26"/>
      <c r="Q10" s="27"/>
    </row>
    <row r="11" ht="26.25" customHeight="1">
      <c r="A11" s="1"/>
      <c r="B11" s="24" t="s">
        <v>25</v>
      </c>
      <c r="C11" s="25"/>
      <c r="D11" s="26"/>
      <c r="E11" s="27"/>
      <c r="F11" s="25"/>
      <c r="G11" s="26"/>
      <c r="H11" s="27"/>
      <c r="I11" s="25"/>
      <c r="J11" s="26"/>
      <c r="K11" s="27"/>
      <c r="L11" s="25"/>
      <c r="M11" s="26"/>
      <c r="N11" s="27"/>
      <c r="O11" s="25"/>
      <c r="P11" s="26"/>
      <c r="Q11" s="27"/>
    </row>
    <row r="12" ht="26.25" customHeight="1">
      <c r="A12" s="1"/>
      <c r="B12" s="24" t="s">
        <v>26</v>
      </c>
      <c r="C12" s="25"/>
      <c r="D12" s="26"/>
      <c r="E12" s="27"/>
      <c r="F12" s="25"/>
      <c r="G12" s="26"/>
      <c r="H12" s="27"/>
      <c r="I12" s="25"/>
      <c r="J12" s="26"/>
      <c r="K12" s="27"/>
      <c r="L12" s="25"/>
      <c r="M12" s="26"/>
      <c r="N12" s="27"/>
      <c r="O12" s="25"/>
      <c r="P12" s="26"/>
      <c r="Q12" s="27"/>
    </row>
    <row r="13" ht="26.25" customHeight="1">
      <c r="A13" s="1"/>
      <c r="B13" s="24" t="s">
        <v>27</v>
      </c>
      <c r="C13" s="25"/>
      <c r="D13" s="26"/>
      <c r="E13" s="27"/>
      <c r="F13" s="25"/>
      <c r="G13" s="26"/>
      <c r="H13" s="27"/>
      <c r="I13" s="25"/>
      <c r="J13" s="26"/>
      <c r="K13" s="27"/>
      <c r="L13" s="25"/>
      <c r="M13" s="26"/>
      <c r="N13" s="27"/>
      <c r="O13" s="25"/>
      <c r="P13" s="26"/>
      <c r="Q13" s="27"/>
    </row>
    <row r="14" ht="26.25" customHeight="1">
      <c r="A14" s="1"/>
      <c r="B14" s="24" t="s">
        <v>28</v>
      </c>
      <c r="C14" s="25"/>
      <c r="D14" s="26"/>
      <c r="E14" s="27"/>
      <c r="F14" s="25"/>
      <c r="G14" s="26"/>
      <c r="H14" s="27"/>
      <c r="I14" s="25"/>
      <c r="J14" s="26"/>
      <c r="K14" s="27"/>
      <c r="L14" s="25"/>
      <c r="M14" s="26"/>
      <c r="N14" s="27"/>
      <c r="O14" s="25"/>
      <c r="P14" s="26"/>
      <c r="Q14" s="27"/>
    </row>
    <row r="15" ht="26.25" customHeight="1">
      <c r="A15" s="1"/>
      <c r="B15" s="24" t="s">
        <v>29</v>
      </c>
      <c r="C15" s="28"/>
      <c r="D15" s="29"/>
      <c r="E15" s="30"/>
      <c r="F15" s="28"/>
      <c r="G15" s="29"/>
      <c r="H15" s="30"/>
      <c r="I15" s="28"/>
      <c r="J15" s="29"/>
      <c r="K15" s="30"/>
      <c r="L15" s="28"/>
      <c r="M15" s="29"/>
      <c r="N15" s="30"/>
      <c r="O15" s="28"/>
      <c r="P15" s="29"/>
      <c r="Q15" s="30"/>
    </row>
    <row r="16" ht="26.25" customHeight="1">
      <c r="A16" s="1"/>
      <c r="B16" s="31" t="s">
        <v>30</v>
      </c>
      <c r="C16" s="32"/>
      <c r="D16" s="33"/>
      <c r="E16" s="34"/>
      <c r="F16" s="32"/>
      <c r="G16" s="33"/>
      <c r="H16" s="34"/>
      <c r="I16" s="32"/>
      <c r="J16" s="33"/>
      <c r="K16" s="34"/>
      <c r="L16" s="32"/>
      <c r="M16" s="33"/>
      <c r="N16" s="34"/>
      <c r="O16" s="32"/>
      <c r="P16" s="33"/>
      <c r="Q16" s="34"/>
    </row>
    <row r="17" ht="26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ht="26.25" customHeight="1">
      <c r="A18" s="1"/>
      <c r="B18" s="15" t="s">
        <v>31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4"/>
    </row>
    <row r="19" ht="26.25" customHeight="1">
      <c r="A19" s="35"/>
      <c r="B19" s="16" t="s">
        <v>32</v>
      </c>
      <c r="C19" s="36" t="s">
        <v>33</v>
      </c>
      <c r="D19" s="37" t="s">
        <v>34</v>
      </c>
      <c r="E19" s="36" t="s">
        <v>35</v>
      </c>
      <c r="F19" s="37" t="s">
        <v>36</v>
      </c>
      <c r="G19" s="36" t="s">
        <v>37</v>
      </c>
      <c r="H19" s="37" t="s">
        <v>38</v>
      </c>
      <c r="I19" s="36" t="s">
        <v>39</v>
      </c>
      <c r="J19" s="37" t="s">
        <v>40</v>
      </c>
      <c r="K19" s="36" t="s">
        <v>41</v>
      </c>
      <c r="L19" s="37" t="s">
        <v>42</v>
      </c>
      <c r="M19" s="36" t="s">
        <v>43</v>
      </c>
      <c r="N19" s="37" t="s">
        <v>44</v>
      </c>
      <c r="O19" s="38" t="s">
        <v>45</v>
      </c>
      <c r="P19" s="35"/>
      <c r="Q19" s="35"/>
    </row>
    <row r="20" ht="26.25" customHeight="1">
      <c r="A20" s="1"/>
      <c r="B20" s="39" t="s">
        <v>20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>
        <f t="shared" ref="O20:O32" si="1">SUM(C20:N20)</f>
        <v>0</v>
      </c>
      <c r="P20" s="42"/>
      <c r="Q20" s="42"/>
    </row>
    <row r="21" ht="26.25" customHeight="1">
      <c r="A21" s="1"/>
      <c r="B21" s="39" t="s">
        <v>20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1">
        <f t="shared" si="1"/>
        <v>0</v>
      </c>
      <c r="P21" s="42"/>
      <c r="Q21" s="42"/>
    </row>
    <row r="22" ht="26.25" customHeight="1">
      <c r="A22" s="1"/>
      <c r="B22" s="39" t="s">
        <v>20</v>
      </c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1">
        <f t="shared" si="1"/>
        <v>0</v>
      </c>
      <c r="P22" s="42"/>
      <c r="Q22" s="42"/>
    </row>
    <row r="23" ht="26.25" customHeight="1">
      <c r="A23" s="1"/>
      <c r="B23" s="39" t="s">
        <v>20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1">
        <f t="shared" si="1"/>
        <v>0</v>
      </c>
      <c r="P23" s="42"/>
      <c r="Q23" s="42"/>
    </row>
    <row r="24" ht="26.25" customHeight="1">
      <c r="A24" s="1"/>
      <c r="B24" s="39" t="s">
        <v>20</v>
      </c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1">
        <f t="shared" si="1"/>
        <v>0</v>
      </c>
      <c r="P24" s="42"/>
      <c r="Q24" s="42"/>
    </row>
    <row r="25" ht="26.25" customHeight="1">
      <c r="A25" s="1"/>
      <c r="B25" s="39" t="s">
        <v>20</v>
      </c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1">
        <f t="shared" si="1"/>
        <v>0</v>
      </c>
      <c r="P25" s="1"/>
      <c r="Q25" s="1"/>
    </row>
    <row r="26" ht="26.25" customHeight="1">
      <c r="A26" s="1"/>
      <c r="B26" s="39" t="s">
        <v>20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1">
        <f t="shared" si="1"/>
        <v>0</v>
      </c>
      <c r="P26" s="1"/>
      <c r="Q26" s="1"/>
    </row>
    <row r="27" ht="26.25" customHeight="1">
      <c r="A27" s="1"/>
      <c r="B27" s="39" t="s">
        <v>20</v>
      </c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6">
        <f t="shared" si="1"/>
        <v>0</v>
      </c>
      <c r="P27" s="1"/>
      <c r="Q27" s="1"/>
    </row>
    <row r="28" ht="26.25" customHeight="1">
      <c r="A28" s="1"/>
      <c r="B28" s="39" t="s">
        <v>20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8">
        <f t="shared" si="1"/>
        <v>0</v>
      </c>
      <c r="P28" s="1"/>
      <c r="Q28" s="1"/>
    </row>
    <row r="29" ht="26.25" customHeight="1">
      <c r="A29" s="1"/>
      <c r="B29" s="39" t="s">
        <v>20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8">
        <f t="shared" si="1"/>
        <v>0</v>
      </c>
      <c r="P29" s="1"/>
      <c r="Q29" s="1"/>
    </row>
    <row r="30" ht="26.25" customHeight="1">
      <c r="A30" s="1"/>
      <c r="B30" s="39" t="s">
        <v>20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8">
        <f t="shared" si="1"/>
        <v>0</v>
      </c>
      <c r="P30" s="1"/>
      <c r="Q30" s="1"/>
    </row>
    <row r="31" ht="26.25" customHeight="1">
      <c r="A31" s="1"/>
      <c r="B31" s="39" t="s">
        <v>20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50">
        <f t="shared" si="1"/>
        <v>0</v>
      </c>
      <c r="P31" s="1"/>
      <c r="Q31" s="1"/>
    </row>
    <row r="32" ht="26.25" customHeight="1">
      <c r="A32" s="1"/>
      <c r="B32" s="51" t="s">
        <v>20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3">
        <f t="shared" si="1"/>
        <v>0</v>
      </c>
      <c r="P32" s="1"/>
      <c r="Q32" s="1"/>
    </row>
    <row r="33" ht="26.25" customHeight="1">
      <c r="A33" s="35"/>
      <c r="B33" s="54" t="s">
        <v>46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4"/>
    </row>
    <row r="34" ht="26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ht="26.25" customHeight="1">
      <c r="A35" s="35"/>
      <c r="B35" s="15" t="s">
        <v>47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4"/>
    </row>
    <row r="36" ht="26.25" customHeight="1">
      <c r="A36" s="35"/>
      <c r="B36" s="55" t="s">
        <v>48</v>
      </c>
      <c r="C36" s="18"/>
      <c r="D36" s="56"/>
      <c r="E36" s="55" t="s">
        <v>49</v>
      </c>
      <c r="F36" s="18"/>
      <c r="G36" s="56"/>
      <c r="H36" s="55" t="s">
        <v>50</v>
      </c>
      <c r="I36" s="18"/>
      <c r="J36" s="56"/>
      <c r="K36" s="55" t="s">
        <v>51</v>
      </c>
      <c r="L36" s="18"/>
      <c r="M36" s="56"/>
      <c r="N36" s="55" t="s">
        <v>52</v>
      </c>
      <c r="O36" s="18"/>
      <c r="P36" s="56"/>
    </row>
    <row r="37" ht="26.25" customHeight="1">
      <c r="A37" s="35"/>
      <c r="B37" s="57" t="s">
        <v>53</v>
      </c>
      <c r="C37" s="57" t="s">
        <v>20</v>
      </c>
      <c r="D37" s="57" t="s">
        <v>20</v>
      </c>
      <c r="E37" s="57" t="s">
        <v>53</v>
      </c>
      <c r="F37" s="57" t="s">
        <v>20</v>
      </c>
      <c r="G37" s="57" t="s">
        <v>20</v>
      </c>
      <c r="H37" s="57" t="s">
        <v>53</v>
      </c>
      <c r="I37" s="57" t="s">
        <v>20</v>
      </c>
      <c r="J37" s="57" t="s">
        <v>20</v>
      </c>
      <c r="K37" s="57" t="s">
        <v>53</v>
      </c>
      <c r="L37" s="57" t="s">
        <v>20</v>
      </c>
      <c r="M37" s="57" t="s">
        <v>20</v>
      </c>
      <c r="N37" s="57" t="s">
        <v>53</v>
      </c>
      <c r="O37" s="57" t="s">
        <v>20</v>
      </c>
      <c r="P37" s="57" t="s">
        <v>20</v>
      </c>
    </row>
    <row r="38" ht="26.25" customHeight="1">
      <c r="A38" s="1"/>
      <c r="B38" s="58"/>
      <c r="C38" s="59"/>
      <c r="D38" s="60"/>
      <c r="E38" s="58"/>
      <c r="F38" s="59"/>
      <c r="G38" s="60"/>
      <c r="H38" s="58"/>
      <c r="I38" s="59"/>
      <c r="J38" s="60"/>
      <c r="K38" s="58"/>
      <c r="L38" s="59"/>
      <c r="M38" s="60"/>
      <c r="N38" s="58"/>
      <c r="O38" s="59"/>
      <c r="P38" s="60"/>
    </row>
    <row r="39" ht="26.25" customHeight="1">
      <c r="A39" s="1"/>
      <c r="B39" s="61"/>
      <c r="C39" s="59"/>
      <c r="D39" s="60"/>
      <c r="E39" s="61"/>
      <c r="F39" s="59"/>
      <c r="G39" s="60"/>
      <c r="H39" s="61"/>
      <c r="I39" s="59"/>
      <c r="J39" s="60"/>
      <c r="K39" s="61"/>
      <c r="L39" s="59"/>
      <c r="M39" s="60"/>
      <c r="N39" s="61"/>
      <c r="O39" s="59"/>
      <c r="P39" s="60"/>
    </row>
    <row r="40" ht="26.25" customHeight="1">
      <c r="A40" s="1"/>
      <c r="B40" s="58"/>
      <c r="C40" s="59"/>
      <c r="D40" s="60"/>
      <c r="E40" s="58"/>
      <c r="F40" s="59"/>
      <c r="G40" s="60"/>
      <c r="H40" s="58"/>
      <c r="I40" s="59"/>
      <c r="J40" s="60"/>
      <c r="K40" s="58"/>
      <c r="L40" s="59"/>
      <c r="M40" s="60"/>
      <c r="N40" s="58"/>
      <c r="O40" s="59"/>
      <c r="P40" s="60"/>
    </row>
    <row r="41" ht="26.25" customHeight="1">
      <c r="A41" s="1"/>
      <c r="B41" s="61"/>
      <c r="C41" s="59"/>
      <c r="D41" s="60"/>
      <c r="E41" s="61"/>
      <c r="F41" s="59"/>
      <c r="G41" s="60"/>
      <c r="H41" s="61"/>
      <c r="I41" s="59"/>
      <c r="J41" s="60"/>
      <c r="K41" s="61"/>
      <c r="L41" s="59"/>
      <c r="M41" s="60"/>
      <c r="N41" s="61"/>
      <c r="O41" s="59"/>
      <c r="P41" s="60"/>
    </row>
    <row r="42" ht="26.25" customHeight="1">
      <c r="A42" s="1"/>
      <c r="B42" s="58"/>
      <c r="C42" s="59"/>
      <c r="D42" s="60"/>
      <c r="E42" s="58"/>
      <c r="F42" s="59"/>
      <c r="G42" s="60"/>
      <c r="H42" s="58"/>
      <c r="I42" s="59"/>
      <c r="J42" s="60"/>
      <c r="K42" s="58"/>
      <c r="L42" s="59"/>
      <c r="M42" s="60"/>
      <c r="N42" s="58"/>
      <c r="O42" s="59"/>
      <c r="P42" s="60"/>
    </row>
    <row r="43" ht="26.25" customHeight="1">
      <c r="A43" s="1"/>
      <c r="B43" s="61"/>
      <c r="C43" s="59"/>
      <c r="D43" s="60"/>
      <c r="E43" s="61"/>
      <c r="F43" s="59"/>
      <c r="G43" s="60"/>
      <c r="H43" s="61"/>
      <c r="I43" s="59"/>
      <c r="J43" s="60"/>
      <c r="K43" s="61"/>
      <c r="L43" s="59"/>
      <c r="M43" s="60"/>
      <c r="N43" s="61"/>
      <c r="O43" s="59"/>
      <c r="P43" s="60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mergeCells count="15">
    <mergeCell ref="H36:J36"/>
    <mergeCell ref="K36:M36"/>
    <mergeCell ref="N36:P36"/>
    <mergeCell ref="C5:E5"/>
    <mergeCell ref="B36:D36"/>
    <mergeCell ref="E36:G36"/>
    <mergeCell ref="B18:Q18"/>
    <mergeCell ref="B33:Q33"/>
    <mergeCell ref="B35:Q35"/>
    <mergeCell ref="B4:Q4"/>
    <mergeCell ref="O5:Q5"/>
    <mergeCell ref="F5:H5"/>
    <mergeCell ref="B2:L2"/>
    <mergeCell ref="I5:K5"/>
    <mergeCell ref="L5:N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3.25"/>
    <col customWidth="1" min="3" max="3" width="20.25"/>
    <col customWidth="1" min="4" max="89" width="16.38"/>
    <col customWidth="1" min="90" max="90" width="7.63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ht="36.0" customHeight="1">
      <c r="A2" s="1"/>
      <c r="B2" s="1"/>
      <c r="C2" s="62" t="s">
        <v>54</v>
      </c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ht="6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</row>
    <row r="4" ht="24.0" customHeight="1">
      <c r="A4" s="35"/>
      <c r="B4" s="35"/>
      <c r="C4" s="63" t="s">
        <v>55</v>
      </c>
      <c r="D4" s="3"/>
      <c r="E4" s="3"/>
      <c r="F4" s="3"/>
      <c r="G4" s="3"/>
      <c r="H4" s="3"/>
      <c r="I4" s="64"/>
      <c r="J4" s="64"/>
      <c r="K4" s="64"/>
      <c r="L4" s="6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</row>
    <row r="5" ht="24.0" customHeight="1">
      <c r="A5" s="35"/>
      <c r="B5" s="35"/>
      <c r="C5" s="66" t="s">
        <v>56</v>
      </c>
      <c r="D5" s="67"/>
      <c r="E5" s="67"/>
      <c r="F5" s="67"/>
      <c r="G5" s="67"/>
      <c r="H5" s="67"/>
      <c r="I5" s="68"/>
      <c r="J5" s="66" t="s">
        <v>57</v>
      </c>
      <c r="K5" s="67"/>
      <c r="L5" s="67"/>
      <c r="M5" s="67"/>
      <c r="N5" s="67"/>
      <c r="O5" s="67"/>
      <c r="P5" s="35"/>
      <c r="Q5" s="66" t="s">
        <v>58</v>
      </c>
      <c r="R5" s="67"/>
      <c r="S5" s="67"/>
      <c r="T5" s="67"/>
      <c r="U5" s="67"/>
      <c r="V5" s="67"/>
      <c r="W5" s="35"/>
      <c r="X5" s="66" t="s">
        <v>59</v>
      </c>
      <c r="Y5" s="67"/>
      <c r="Z5" s="67"/>
      <c r="AA5" s="67"/>
      <c r="AB5" s="67"/>
      <c r="AC5" s="67"/>
      <c r="AD5" s="35"/>
      <c r="AE5" s="66" t="s">
        <v>60</v>
      </c>
      <c r="AF5" s="67"/>
      <c r="AG5" s="67"/>
      <c r="AH5" s="67"/>
      <c r="AI5" s="67"/>
      <c r="AJ5" s="67"/>
      <c r="AK5" s="35"/>
      <c r="AL5" s="66" t="s">
        <v>61</v>
      </c>
      <c r="AM5" s="67"/>
      <c r="AN5" s="67"/>
      <c r="AO5" s="67"/>
      <c r="AP5" s="67"/>
      <c r="AQ5" s="67"/>
      <c r="AR5" s="35"/>
      <c r="AS5" s="66" t="s">
        <v>62</v>
      </c>
      <c r="AT5" s="67"/>
      <c r="AU5" s="67"/>
      <c r="AV5" s="67"/>
      <c r="AW5" s="67"/>
      <c r="AX5" s="67"/>
      <c r="AY5" s="35"/>
      <c r="AZ5" s="66" t="s">
        <v>63</v>
      </c>
      <c r="BA5" s="67"/>
      <c r="BB5" s="67"/>
      <c r="BC5" s="67"/>
      <c r="BD5" s="67"/>
      <c r="BE5" s="67"/>
      <c r="BF5" s="35"/>
      <c r="BG5" s="66" t="s">
        <v>64</v>
      </c>
      <c r="BH5" s="67"/>
      <c r="BI5" s="67"/>
      <c r="BJ5" s="67"/>
      <c r="BK5" s="67"/>
      <c r="BL5" s="67"/>
      <c r="BM5" s="35"/>
      <c r="BN5" s="66" t="s">
        <v>65</v>
      </c>
      <c r="BO5" s="67"/>
      <c r="BP5" s="67"/>
      <c r="BQ5" s="67"/>
      <c r="BR5" s="67"/>
      <c r="BS5" s="67"/>
      <c r="BT5" s="35"/>
      <c r="BU5" s="66" t="s">
        <v>66</v>
      </c>
      <c r="BV5" s="67"/>
      <c r="BW5" s="67"/>
      <c r="BX5" s="67"/>
      <c r="BY5" s="67"/>
      <c r="BZ5" s="67"/>
      <c r="CA5" s="35"/>
      <c r="CB5" s="66" t="s">
        <v>67</v>
      </c>
      <c r="CC5" s="67"/>
      <c r="CD5" s="67"/>
      <c r="CE5" s="67"/>
      <c r="CF5" s="67"/>
      <c r="CG5" s="67"/>
      <c r="CH5" s="35"/>
      <c r="CI5" s="35"/>
      <c r="CJ5" s="35"/>
      <c r="CK5" s="35"/>
      <c r="CL5" s="35"/>
    </row>
    <row r="6" ht="38.25" customHeight="1">
      <c r="A6" s="35"/>
      <c r="B6" s="35"/>
      <c r="C6" s="16" t="s">
        <v>68</v>
      </c>
      <c r="D6" s="16" t="s">
        <v>69</v>
      </c>
      <c r="E6" s="69" t="s">
        <v>20</v>
      </c>
      <c r="F6" s="69" t="s">
        <v>20</v>
      </c>
      <c r="G6" s="69" t="s">
        <v>20</v>
      </c>
      <c r="H6" s="69" t="s">
        <v>20</v>
      </c>
      <c r="I6" s="70"/>
      <c r="J6" s="16" t="s">
        <v>68</v>
      </c>
      <c r="K6" s="16" t="s">
        <v>69</v>
      </c>
      <c r="L6" s="69" t="s">
        <v>20</v>
      </c>
      <c r="M6" s="69" t="s">
        <v>20</v>
      </c>
      <c r="N6" s="69" t="s">
        <v>20</v>
      </c>
      <c r="O6" s="69" t="s">
        <v>20</v>
      </c>
      <c r="P6" s="35"/>
      <c r="Q6" s="16" t="s">
        <v>68</v>
      </c>
      <c r="R6" s="16" t="s">
        <v>69</v>
      </c>
      <c r="S6" s="69" t="s">
        <v>20</v>
      </c>
      <c r="T6" s="69" t="s">
        <v>20</v>
      </c>
      <c r="U6" s="69" t="s">
        <v>20</v>
      </c>
      <c r="V6" s="69" t="s">
        <v>20</v>
      </c>
      <c r="W6" s="35"/>
      <c r="X6" s="16" t="s">
        <v>68</v>
      </c>
      <c r="Y6" s="16" t="s">
        <v>69</v>
      </c>
      <c r="Z6" s="69" t="s">
        <v>20</v>
      </c>
      <c r="AA6" s="69" t="s">
        <v>20</v>
      </c>
      <c r="AB6" s="69" t="s">
        <v>20</v>
      </c>
      <c r="AC6" s="69" t="s">
        <v>20</v>
      </c>
      <c r="AD6" s="35"/>
      <c r="AE6" s="16" t="s">
        <v>68</v>
      </c>
      <c r="AF6" s="16" t="s">
        <v>69</v>
      </c>
      <c r="AG6" s="69" t="s">
        <v>20</v>
      </c>
      <c r="AH6" s="69" t="s">
        <v>20</v>
      </c>
      <c r="AI6" s="69" t="s">
        <v>20</v>
      </c>
      <c r="AJ6" s="69" t="s">
        <v>20</v>
      </c>
      <c r="AK6" s="35"/>
      <c r="AL6" s="16" t="s">
        <v>68</v>
      </c>
      <c r="AM6" s="16" t="s">
        <v>69</v>
      </c>
      <c r="AN6" s="69" t="s">
        <v>20</v>
      </c>
      <c r="AO6" s="69" t="s">
        <v>20</v>
      </c>
      <c r="AP6" s="69" t="s">
        <v>20</v>
      </c>
      <c r="AQ6" s="69" t="s">
        <v>20</v>
      </c>
      <c r="AR6" s="35"/>
      <c r="AS6" s="16" t="s">
        <v>68</v>
      </c>
      <c r="AT6" s="16" t="s">
        <v>69</v>
      </c>
      <c r="AU6" s="69" t="s">
        <v>20</v>
      </c>
      <c r="AV6" s="69" t="s">
        <v>20</v>
      </c>
      <c r="AW6" s="69" t="s">
        <v>20</v>
      </c>
      <c r="AX6" s="69" t="s">
        <v>20</v>
      </c>
      <c r="AY6" s="35"/>
      <c r="AZ6" s="16" t="s">
        <v>68</v>
      </c>
      <c r="BA6" s="16" t="s">
        <v>69</v>
      </c>
      <c r="BB6" s="69" t="s">
        <v>20</v>
      </c>
      <c r="BC6" s="69" t="s">
        <v>20</v>
      </c>
      <c r="BD6" s="69" t="s">
        <v>20</v>
      </c>
      <c r="BE6" s="69" t="s">
        <v>20</v>
      </c>
      <c r="BF6" s="35"/>
      <c r="BG6" s="16" t="s">
        <v>68</v>
      </c>
      <c r="BH6" s="16" t="s">
        <v>69</v>
      </c>
      <c r="BI6" s="69" t="s">
        <v>20</v>
      </c>
      <c r="BJ6" s="69" t="s">
        <v>20</v>
      </c>
      <c r="BK6" s="69" t="s">
        <v>20</v>
      </c>
      <c r="BL6" s="69" t="s">
        <v>20</v>
      </c>
      <c r="BM6" s="35"/>
      <c r="BN6" s="16" t="s">
        <v>68</v>
      </c>
      <c r="BO6" s="16" t="s">
        <v>69</v>
      </c>
      <c r="BP6" s="69" t="s">
        <v>20</v>
      </c>
      <c r="BQ6" s="69" t="s">
        <v>20</v>
      </c>
      <c r="BR6" s="69" t="s">
        <v>20</v>
      </c>
      <c r="BS6" s="69" t="s">
        <v>20</v>
      </c>
      <c r="BT6" s="35"/>
      <c r="BU6" s="16" t="s">
        <v>68</v>
      </c>
      <c r="BV6" s="16" t="s">
        <v>69</v>
      </c>
      <c r="BW6" s="69" t="s">
        <v>20</v>
      </c>
      <c r="BX6" s="69" t="s">
        <v>20</v>
      </c>
      <c r="BY6" s="69" t="s">
        <v>20</v>
      </c>
      <c r="BZ6" s="69" t="s">
        <v>20</v>
      </c>
      <c r="CA6" s="35"/>
      <c r="CB6" s="16" t="s">
        <v>68</v>
      </c>
      <c r="CC6" s="16" t="s">
        <v>69</v>
      </c>
      <c r="CD6" s="69" t="s">
        <v>20</v>
      </c>
      <c r="CE6" s="69" t="s">
        <v>20</v>
      </c>
      <c r="CF6" s="69" t="s">
        <v>20</v>
      </c>
      <c r="CG6" s="69" t="s">
        <v>20</v>
      </c>
      <c r="CH6" s="35"/>
      <c r="CI6" s="35"/>
      <c r="CJ6" s="35"/>
      <c r="CK6" s="35"/>
      <c r="CL6" s="35"/>
    </row>
    <row r="7" ht="21.75" customHeight="1">
      <c r="A7" s="35"/>
      <c r="B7" s="35"/>
      <c r="C7" s="71" t="s">
        <v>70</v>
      </c>
      <c r="D7" s="72" t="s">
        <v>71</v>
      </c>
      <c r="E7" s="73"/>
      <c r="F7" s="74"/>
      <c r="G7" s="75"/>
      <c r="H7" s="75"/>
      <c r="I7" s="70"/>
      <c r="J7" s="71" t="s">
        <v>72</v>
      </c>
      <c r="K7" s="76" t="s">
        <v>71</v>
      </c>
      <c r="L7" s="73"/>
      <c r="M7" s="74"/>
      <c r="N7" s="75"/>
      <c r="O7" s="75"/>
      <c r="P7" s="35"/>
      <c r="Q7" s="71" t="s">
        <v>73</v>
      </c>
      <c r="R7" s="76" t="s">
        <v>71</v>
      </c>
      <c r="S7" s="73"/>
      <c r="T7" s="74"/>
      <c r="U7" s="75"/>
      <c r="V7" s="75"/>
      <c r="W7" s="35"/>
      <c r="X7" s="71" t="s">
        <v>74</v>
      </c>
      <c r="Y7" s="76" t="s">
        <v>71</v>
      </c>
      <c r="Z7" s="73"/>
      <c r="AA7" s="74"/>
      <c r="AB7" s="75"/>
      <c r="AC7" s="75"/>
      <c r="AD7" s="35"/>
      <c r="AE7" s="71" t="s">
        <v>75</v>
      </c>
      <c r="AF7" s="76" t="s">
        <v>71</v>
      </c>
      <c r="AG7" s="73"/>
      <c r="AH7" s="74"/>
      <c r="AI7" s="75"/>
      <c r="AJ7" s="75"/>
      <c r="AK7" s="35"/>
      <c r="AL7" s="71" t="s">
        <v>76</v>
      </c>
      <c r="AM7" s="76" t="s">
        <v>71</v>
      </c>
      <c r="AN7" s="73"/>
      <c r="AO7" s="74"/>
      <c r="AP7" s="75"/>
      <c r="AQ7" s="75"/>
      <c r="AR7" s="35"/>
      <c r="AS7" s="71" t="s">
        <v>77</v>
      </c>
      <c r="AT7" s="76" t="s">
        <v>71</v>
      </c>
      <c r="AU7" s="73"/>
      <c r="AV7" s="74"/>
      <c r="AW7" s="75"/>
      <c r="AX7" s="75"/>
      <c r="AY7" s="35"/>
      <c r="AZ7" s="71" t="s">
        <v>78</v>
      </c>
      <c r="BA7" s="76" t="s">
        <v>71</v>
      </c>
      <c r="BB7" s="73"/>
      <c r="BC7" s="74"/>
      <c r="BD7" s="75"/>
      <c r="BE7" s="75"/>
      <c r="BF7" s="35"/>
      <c r="BG7" s="71" t="s">
        <v>79</v>
      </c>
      <c r="BH7" s="76" t="s">
        <v>71</v>
      </c>
      <c r="BI7" s="73"/>
      <c r="BJ7" s="74"/>
      <c r="BK7" s="75"/>
      <c r="BL7" s="75"/>
      <c r="BM7" s="35"/>
      <c r="BN7" s="71" t="s">
        <v>80</v>
      </c>
      <c r="BO7" s="76" t="s">
        <v>71</v>
      </c>
      <c r="BP7" s="73"/>
      <c r="BQ7" s="74"/>
      <c r="BR7" s="75"/>
      <c r="BS7" s="75"/>
      <c r="BT7" s="35"/>
      <c r="BU7" s="71" t="s">
        <v>81</v>
      </c>
      <c r="BV7" s="76" t="s">
        <v>71</v>
      </c>
      <c r="BW7" s="73"/>
      <c r="BX7" s="74"/>
      <c r="BY7" s="75"/>
      <c r="BZ7" s="75"/>
      <c r="CA7" s="35"/>
      <c r="CB7" s="71" t="s">
        <v>82</v>
      </c>
      <c r="CC7" s="76" t="s">
        <v>71</v>
      </c>
      <c r="CD7" s="73"/>
      <c r="CE7" s="74"/>
      <c r="CF7" s="75"/>
      <c r="CG7" s="75"/>
      <c r="CH7" s="35"/>
      <c r="CI7" s="35"/>
      <c r="CJ7" s="35"/>
      <c r="CK7" s="35"/>
      <c r="CL7" s="35"/>
    </row>
    <row r="8" ht="21.75" customHeight="1">
      <c r="A8" s="35"/>
      <c r="B8" s="35"/>
      <c r="C8" s="77"/>
      <c r="D8" s="72" t="s">
        <v>83</v>
      </c>
      <c r="E8" s="73"/>
      <c r="F8" s="74"/>
      <c r="G8" s="75"/>
      <c r="H8" s="75"/>
      <c r="I8" s="70"/>
      <c r="J8" s="77"/>
      <c r="K8" s="76" t="s">
        <v>83</v>
      </c>
      <c r="L8" s="73"/>
      <c r="M8" s="74"/>
      <c r="N8" s="75"/>
      <c r="O8" s="75"/>
      <c r="P8" s="35"/>
      <c r="Q8" s="77"/>
      <c r="R8" s="76" t="s">
        <v>83</v>
      </c>
      <c r="S8" s="73"/>
      <c r="T8" s="74"/>
      <c r="U8" s="75"/>
      <c r="V8" s="75"/>
      <c r="W8" s="35"/>
      <c r="X8" s="77"/>
      <c r="Y8" s="76" t="s">
        <v>83</v>
      </c>
      <c r="Z8" s="73"/>
      <c r="AA8" s="74"/>
      <c r="AB8" s="75"/>
      <c r="AC8" s="75"/>
      <c r="AD8" s="35"/>
      <c r="AE8" s="77"/>
      <c r="AF8" s="76" t="s">
        <v>83</v>
      </c>
      <c r="AG8" s="73"/>
      <c r="AH8" s="74"/>
      <c r="AI8" s="75"/>
      <c r="AJ8" s="75"/>
      <c r="AK8" s="35"/>
      <c r="AL8" s="77"/>
      <c r="AM8" s="76" t="s">
        <v>83</v>
      </c>
      <c r="AN8" s="73"/>
      <c r="AO8" s="74"/>
      <c r="AP8" s="75"/>
      <c r="AQ8" s="75"/>
      <c r="AR8" s="35"/>
      <c r="AS8" s="77"/>
      <c r="AT8" s="76" t="s">
        <v>83</v>
      </c>
      <c r="AU8" s="73"/>
      <c r="AV8" s="74"/>
      <c r="AW8" s="75"/>
      <c r="AX8" s="75"/>
      <c r="AY8" s="35"/>
      <c r="AZ8" s="77"/>
      <c r="BA8" s="76" t="s">
        <v>83</v>
      </c>
      <c r="BB8" s="73"/>
      <c r="BC8" s="74"/>
      <c r="BD8" s="75"/>
      <c r="BE8" s="75"/>
      <c r="BF8" s="35"/>
      <c r="BG8" s="77"/>
      <c r="BH8" s="76" t="s">
        <v>83</v>
      </c>
      <c r="BI8" s="73"/>
      <c r="BJ8" s="74"/>
      <c r="BK8" s="75"/>
      <c r="BL8" s="75"/>
      <c r="BM8" s="35"/>
      <c r="BN8" s="77"/>
      <c r="BO8" s="76" t="s">
        <v>83</v>
      </c>
      <c r="BP8" s="73"/>
      <c r="BQ8" s="74"/>
      <c r="BR8" s="75"/>
      <c r="BS8" s="75"/>
      <c r="BT8" s="35"/>
      <c r="BU8" s="77"/>
      <c r="BV8" s="76" t="s">
        <v>83</v>
      </c>
      <c r="BW8" s="73"/>
      <c r="BX8" s="74"/>
      <c r="BY8" s="75"/>
      <c r="BZ8" s="75"/>
      <c r="CA8" s="35"/>
      <c r="CB8" s="77"/>
      <c r="CC8" s="76" t="s">
        <v>83</v>
      </c>
      <c r="CD8" s="73"/>
      <c r="CE8" s="74"/>
      <c r="CF8" s="75"/>
      <c r="CG8" s="75"/>
      <c r="CH8" s="35"/>
      <c r="CI8" s="35"/>
      <c r="CJ8" s="35"/>
      <c r="CK8" s="35"/>
      <c r="CL8" s="35"/>
    </row>
    <row r="9" ht="21.75" customHeight="1">
      <c r="A9" s="35"/>
      <c r="B9" s="35"/>
      <c r="C9" s="78"/>
      <c r="D9" s="79" t="s">
        <v>84</v>
      </c>
      <c r="E9" s="80"/>
      <c r="F9" s="81"/>
      <c r="G9" s="82"/>
      <c r="H9" s="82"/>
      <c r="I9" s="83"/>
      <c r="J9" s="78"/>
      <c r="K9" s="84" t="s">
        <v>84</v>
      </c>
      <c r="L9" s="80"/>
      <c r="M9" s="81"/>
      <c r="N9" s="82"/>
      <c r="O9" s="82"/>
      <c r="P9" s="35"/>
      <c r="Q9" s="78"/>
      <c r="R9" s="84" t="s">
        <v>84</v>
      </c>
      <c r="S9" s="80"/>
      <c r="T9" s="81"/>
      <c r="U9" s="82"/>
      <c r="V9" s="82"/>
      <c r="W9" s="35"/>
      <c r="X9" s="78"/>
      <c r="Y9" s="84" t="s">
        <v>84</v>
      </c>
      <c r="Z9" s="80"/>
      <c r="AA9" s="81"/>
      <c r="AB9" s="82"/>
      <c r="AC9" s="82"/>
      <c r="AD9" s="35"/>
      <c r="AE9" s="78"/>
      <c r="AF9" s="84" t="s">
        <v>84</v>
      </c>
      <c r="AG9" s="80"/>
      <c r="AH9" s="81"/>
      <c r="AI9" s="82"/>
      <c r="AJ9" s="82"/>
      <c r="AK9" s="35"/>
      <c r="AL9" s="78"/>
      <c r="AM9" s="84" t="s">
        <v>84</v>
      </c>
      <c r="AN9" s="80"/>
      <c r="AO9" s="81"/>
      <c r="AP9" s="82"/>
      <c r="AQ9" s="82"/>
      <c r="AR9" s="35"/>
      <c r="AS9" s="78"/>
      <c r="AT9" s="84" t="s">
        <v>84</v>
      </c>
      <c r="AU9" s="80"/>
      <c r="AV9" s="81"/>
      <c r="AW9" s="82"/>
      <c r="AX9" s="82"/>
      <c r="AY9" s="35"/>
      <c r="AZ9" s="78"/>
      <c r="BA9" s="84" t="s">
        <v>84</v>
      </c>
      <c r="BB9" s="80"/>
      <c r="BC9" s="81"/>
      <c r="BD9" s="82"/>
      <c r="BE9" s="82"/>
      <c r="BF9" s="35"/>
      <c r="BG9" s="78"/>
      <c r="BH9" s="84" t="s">
        <v>84</v>
      </c>
      <c r="BI9" s="80"/>
      <c r="BJ9" s="81"/>
      <c r="BK9" s="82"/>
      <c r="BL9" s="82"/>
      <c r="BM9" s="35"/>
      <c r="BN9" s="78"/>
      <c r="BO9" s="84" t="s">
        <v>84</v>
      </c>
      <c r="BP9" s="80"/>
      <c r="BQ9" s="81"/>
      <c r="BR9" s="82"/>
      <c r="BS9" s="82"/>
      <c r="BT9" s="35"/>
      <c r="BU9" s="78"/>
      <c r="BV9" s="84" t="s">
        <v>84</v>
      </c>
      <c r="BW9" s="80"/>
      <c r="BX9" s="81"/>
      <c r="BY9" s="82"/>
      <c r="BZ9" s="82"/>
      <c r="CA9" s="35"/>
      <c r="CB9" s="78"/>
      <c r="CC9" s="84" t="s">
        <v>84</v>
      </c>
      <c r="CD9" s="80"/>
      <c r="CE9" s="81"/>
      <c r="CF9" s="82"/>
      <c r="CG9" s="82"/>
      <c r="CH9" s="35"/>
      <c r="CI9" s="35"/>
      <c r="CJ9" s="35"/>
      <c r="CK9" s="35"/>
      <c r="CL9" s="35"/>
    </row>
    <row r="10" ht="3.75" customHeight="1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</row>
    <row r="11" ht="21.75" customHeight="1">
      <c r="A11" s="35"/>
      <c r="B11" s="35"/>
      <c r="C11" s="86" t="s">
        <v>85</v>
      </c>
      <c r="D11" s="87" t="s">
        <v>71</v>
      </c>
      <c r="E11" s="88"/>
      <c r="F11" s="89"/>
      <c r="G11" s="90"/>
      <c r="H11" s="75"/>
      <c r="I11" s="91"/>
      <c r="J11" s="86" t="s">
        <v>86</v>
      </c>
      <c r="K11" s="87" t="s">
        <v>71</v>
      </c>
      <c r="L11" s="88"/>
      <c r="M11" s="89"/>
      <c r="N11" s="90"/>
      <c r="O11" s="75"/>
      <c r="P11" s="35"/>
      <c r="Q11" s="86" t="s">
        <v>87</v>
      </c>
      <c r="R11" s="87" t="s">
        <v>71</v>
      </c>
      <c r="S11" s="88"/>
      <c r="T11" s="89"/>
      <c r="U11" s="90"/>
      <c r="V11" s="75"/>
      <c r="W11" s="35"/>
      <c r="X11" s="86" t="s">
        <v>88</v>
      </c>
      <c r="Y11" s="87" t="s">
        <v>71</v>
      </c>
      <c r="Z11" s="88"/>
      <c r="AA11" s="89"/>
      <c r="AB11" s="90"/>
      <c r="AC11" s="75"/>
      <c r="AD11" s="35"/>
      <c r="AE11" s="86" t="s">
        <v>89</v>
      </c>
      <c r="AF11" s="87" t="s">
        <v>71</v>
      </c>
      <c r="AG11" s="88"/>
      <c r="AH11" s="89"/>
      <c r="AI11" s="90"/>
      <c r="AJ11" s="75"/>
      <c r="AK11" s="35"/>
      <c r="AL11" s="86" t="s">
        <v>90</v>
      </c>
      <c r="AM11" s="87" t="s">
        <v>71</v>
      </c>
      <c r="AN11" s="88"/>
      <c r="AO11" s="89"/>
      <c r="AP11" s="90"/>
      <c r="AQ11" s="75"/>
      <c r="AR11" s="35"/>
      <c r="AS11" s="86" t="s">
        <v>91</v>
      </c>
      <c r="AT11" s="87" t="s">
        <v>71</v>
      </c>
      <c r="AU11" s="88"/>
      <c r="AV11" s="89"/>
      <c r="AW11" s="90"/>
      <c r="AX11" s="75"/>
      <c r="AY11" s="35"/>
      <c r="AZ11" s="86" t="s">
        <v>92</v>
      </c>
      <c r="BA11" s="87" t="s">
        <v>71</v>
      </c>
      <c r="BB11" s="88"/>
      <c r="BC11" s="89"/>
      <c r="BD11" s="90"/>
      <c r="BE11" s="75"/>
      <c r="BF11" s="35"/>
      <c r="BG11" s="86" t="s">
        <v>93</v>
      </c>
      <c r="BH11" s="87" t="s">
        <v>71</v>
      </c>
      <c r="BI11" s="88"/>
      <c r="BJ11" s="89"/>
      <c r="BK11" s="90"/>
      <c r="BL11" s="75"/>
      <c r="BM11" s="35"/>
      <c r="BN11" s="86" t="s">
        <v>94</v>
      </c>
      <c r="BO11" s="87" t="s">
        <v>71</v>
      </c>
      <c r="BP11" s="88"/>
      <c r="BQ11" s="89"/>
      <c r="BR11" s="90"/>
      <c r="BS11" s="75"/>
      <c r="BT11" s="35"/>
      <c r="BU11" s="86" t="s">
        <v>95</v>
      </c>
      <c r="BV11" s="87" t="s">
        <v>71</v>
      </c>
      <c r="BW11" s="88"/>
      <c r="BX11" s="89"/>
      <c r="BY11" s="90"/>
      <c r="BZ11" s="75"/>
      <c r="CA11" s="35"/>
      <c r="CB11" s="86" t="s">
        <v>96</v>
      </c>
      <c r="CC11" s="87" t="s">
        <v>71</v>
      </c>
      <c r="CD11" s="88"/>
      <c r="CE11" s="89"/>
      <c r="CF11" s="90"/>
      <c r="CG11" s="75"/>
      <c r="CH11" s="35"/>
      <c r="CI11" s="35"/>
      <c r="CJ11" s="35"/>
      <c r="CK11" s="35"/>
      <c r="CL11" s="35"/>
    </row>
    <row r="12" ht="21.75" customHeight="1">
      <c r="A12" s="35"/>
      <c r="B12" s="35"/>
      <c r="C12" s="77"/>
      <c r="D12" s="92" t="s">
        <v>83</v>
      </c>
      <c r="E12" s="73"/>
      <c r="F12" s="74"/>
      <c r="G12" s="75"/>
      <c r="H12" s="75"/>
      <c r="I12" s="70"/>
      <c r="J12" s="77"/>
      <c r="K12" s="92" t="s">
        <v>83</v>
      </c>
      <c r="L12" s="73"/>
      <c r="M12" s="74"/>
      <c r="N12" s="75"/>
      <c r="O12" s="75"/>
      <c r="P12" s="35"/>
      <c r="Q12" s="77"/>
      <c r="R12" s="92" t="s">
        <v>83</v>
      </c>
      <c r="S12" s="73"/>
      <c r="T12" s="74"/>
      <c r="U12" s="75"/>
      <c r="V12" s="75"/>
      <c r="W12" s="35"/>
      <c r="X12" s="77"/>
      <c r="Y12" s="92" t="s">
        <v>83</v>
      </c>
      <c r="Z12" s="73"/>
      <c r="AA12" s="74"/>
      <c r="AB12" s="75"/>
      <c r="AC12" s="75"/>
      <c r="AD12" s="35"/>
      <c r="AE12" s="77"/>
      <c r="AF12" s="92" t="s">
        <v>83</v>
      </c>
      <c r="AG12" s="73"/>
      <c r="AH12" s="74"/>
      <c r="AI12" s="75"/>
      <c r="AJ12" s="75"/>
      <c r="AK12" s="35"/>
      <c r="AL12" s="77"/>
      <c r="AM12" s="92" t="s">
        <v>83</v>
      </c>
      <c r="AN12" s="73"/>
      <c r="AO12" s="74"/>
      <c r="AP12" s="75"/>
      <c r="AQ12" s="75"/>
      <c r="AR12" s="35"/>
      <c r="AS12" s="77"/>
      <c r="AT12" s="92" t="s">
        <v>83</v>
      </c>
      <c r="AU12" s="73"/>
      <c r="AV12" s="74"/>
      <c r="AW12" s="75"/>
      <c r="AX12" s="75"/>
      <c r="AY12" s="35"/>
      <c r="AZ12" s="77"/>
      <c r="BA12" s="92" t="s">
        <v>83</v>
      </c>
      <c r="BB12" s="73"/>
      <c r="BC12" s="74"/>
      <c r="BD12" s="75"/>
      <c r="BE12" s="75"/>
      <c r="BF12" s="35"/>
      <c r="BG12" s="77"/>
      <c r="BH12" s="92" t="s">
        <v>83</v>
      </c>
      <c r="BI12" s="73"/>
      <c r="BJ12" s="74"/>
      <c r="BK12" s="75"/>
      <c r="BL12" s="75"/>
      <c r="BM12" s="35"/>
      <c r="BN12" s="77"/>
      <c r="BO12" s="92" t="s">
        <v>83</v>
      </c>
      <c r="BP12" s="73"/>
      <c r="BQ12" s="74"/>
      <c r="BR12" s="75"/>
      <c r="BS12" s="75"/>
      <c r="BT12" s="35"/>
      <c r="BU12" s="77"/>
      <c r="BV12" s="92" t="s">
        <v>83</v>
      </c>
      <c r="BW12" s="73"/>
      <c r="BX12" s="74"/>
      <c r="BY12" s="75"/>
      <c r="BZ12" s="75"/>
      <c r="CA12" s="35"/>
      <c r="CB12" s="77"/>
      <c r="CC12" s="92" t="s">
        <v>83</v>
      </c>
      <c r="CD12" s="73"/>
      <c r="CE12" s="74"/>
      <c r="CF12" s="75"/>
      <c r="CG12" s="75"/>
      <c r="CH12" s="35"/>
      <c r="CI12" s="35"/>
      <c r="CJ12" s="35"/>
      <c r="CK12" s="35"/>
      <c r="CL12" s="35"/>
    </row>
    <row r="13" ht="21.75" customHeight="1">
      <c r="A13" s="35"/>
      <c r="B13" s="35"/>
      <c r="C13" s="78"/>
      <c r="D13" s="93" t="s">
        <v>84</v>
      </c>
      <c r="E13" s="80"/>
      <c r="F13" s="81"/>
      <c r="G13" s="82"/>
      <c r="H13" s="82"/>
      <c r="I13" s="83"/>
      <c r="J13" s="78"/>
      <c r="K13" s="93" t="s">
        <v>84</v>
      </c>
      <c r="L13" s="80"/>
      <c r="M13" s="81"/>
      <c r="N13" s="82"/>
      <c r="O13" s="82"/>
      <c r="P13" s="35"/>
      <c r="Q13" s="78"/>
      <c r="R13" s="93" t="s">
        <v>84</v>
      </c>
      <c r="S13" s="80"/>
      <c r="T13" s="81"/>
      <c r="U13" s="82"/>
      <c r="V13" s="82"/>
      <c r="W13" s="35"/>
      <c r="X13" s="78"/>
      <c r="Y13" s="93" t="s">
        <v>84</v>
      </c>
      <c r="Z13" s="80"/>
      <c r="AA13" s="81"/>
      <c r="AB13" s="82"/>
      <c r="AC13" s="82"/>
      <c r="AD13" s="35"/>
      <c r="AE13" s="78"/>
      <c r="AF13" s="93" t="s">
        <v>84</v>
      </c>
      <c r="AG13" s="80"/>
      <c r="AH13" s="81"/>
      <c r="AI13" s="82"/>
      <c r="AJ13" s="82"/>
      <c r="AK13" s="35"/>
      <c r="AL13" s="78"/>
      <c r="AM13" s="93" t="s">
        <v>84</v>
      </c>
      <c r="AN13" s="80"/>
      <c r="AO13" s="81"/>
      <c r="AP13" s="82"/>
      <c r="AQ13" s="82"/>
      <c r="AR13" s="35"/>
      <c r="AS13" s="78"/>
      <c r="AT13" s="93" t="s">
        <v>84</v>
      </c>
      <c r="AU13" s="80"/>
      <c r="AV13" s="81"/>
      <c r="AW13" s="82"/>
      <c r="AX13" s="82"/>
      <c r="AY13" s="35"/>
      <c r="AZ13" s="78"/>
      <c r="BA13" s="93" t="s">
        <v>84</v>
      </c>
      <c r="BB13" s="80"/>
      <c r="BC13" s="81"/>
      <c r="BD13" s="82"/>
      <c r="BE13" s="82"/>
      <c r="BF13" s="35"/>
      <c r="BG13" s="78"/>
      <c r="BH13" s="93" t="s">
        <v>84</v>
      </c>
      <c r="BI13" s="80"/>
      <c r="BJ13" s="81"/>
      <c r="BK13" s="82"/>
      <c r="BL13" s="82"/>
      <c r="BM13" s="35"/>
      <c r="BN13" s="78"/>
      <c r="BO13" s="93" t="s">
        <v>84</v>
      </c>
      <c r="BP13" s="80"/>
      <c r="BQ13" s="81"/>
      <c r="BR13" s="82"/>
      <c r="BS13" s="82"/>
      <c r="BT13" s="35"/>
      <c r="BU13" s="78"/>
      <c r="BV13" s="93" t="s">
        <v>84</v>
      </c>
      <c r="BW13" s="80"/>
      <c r="BX13" s="81"/>
      <c r="BY13" s="82"/>
      <c r="BZ13" s="82"/>
      <c r="CA13" s="35"/>
      <c r="CB13" s="78"/>
      <c r="CC13" s="93" t="s">
        <v>84</v>
      </c>
      <c r="CD13" s="80"/>
      <c r="CE13" s="81"/>
      <c r="CF13" s="82"/>
      <c r="CG13" s="82"/>
      <c r="CH13" s="35"/>
      <c r="CI13" s="35"/>
      <c r="CJ13" s="35"/>
      <c r="CK13" s="35"/>
      <c r="CL13" s="35"/>
    </row>
    <row r="14" ht="3.75" customHeight="1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85"/>
      <c r="CL14" s="85"/>
    </row>
    <row r="15" ht="21.75" customHeight="1">
      <c r="A15" s="35"/>
      <c r="B15" s="35"/>
      <c r="C15" s="94" t="s">
        <v>97</v>
      </c>
      <c r="D15" s="95" t="s">
        <v>71</v>
      </c>
      <c r="E15" s="88"/>
      <c r="F15" s="89"/>
      <c r="G15" s="90"/>
      <c r="H15" s="75"/>
      <c r="I15" s="91"/>
      <c r="J15" s="94" t="s">
        <v>98</v>
      </c>
      <c r="K15" s="95" t="s">
        <v>71</v>
      </c>
      <c r="L15" s="88"/>
      <c r="M15" s="89"/>
      <c r="N15" s="90"/>
      <c r="O15" s="75"/>
      <c r="P15" s="35"/>
      <c r="Q15" s="94" t="s">
        <v>99</v>
      </c>
      <c r="R15" s="95" t="s">
        <v>71</v>
      </c>
      <c r="S15" s="88"/>
      <c r="T15" s="89"/>
      <c r="U15" s="90"/>
      <c r="V15" s="75"/>
      <c r="W15" s="35"/>
      <c r="X15" s="94" t="s">
        <v>100</v>
      </c>
      <c r="Y15" s="95" t="s">
        <v>71</v>
      </c>
      <c r="Z15" s="88"/>
      <c r="AA15" s="89"/>
      <c r="AB15" s="90"/>
      <c r="AC15" s="75"/>
      <c r="AD15" s="35"/>
      <c r="AE15" s="94" t="s">
        <v>101</v>
      </c>
      <c r="AF15" s="95" t="s">
        <v>71</v>
      </c>
      <c r="AG15" s="88"/>
      <c r="AH15" s="89"/>
      <c r="AI15" s="90"/>
      <c r="AJ15" s="75"/>
      <c r="AK15" s="35"/>
      <c r="AL15" s="94" t="s">
        <v>102</v>
      </c>
      <c r="AM15" s="95" t="s">
        <v>71</v>
      </c>
      <c r="AN15" s="88"/>
      <c r="AO15" s="89"/>
      <c r="AP15" s="90"/>
      <c r="AQ15" s="75"/>
      <c r="AR15" s="35"/>
      <c r="AS15" s="94" t="s">
        <v>103</v>
      </c>
      <c r="AT15" s="95" t="s">
        <v>71</v>
      </c>
      <c r="AU15" s="88"/>
      <c r="AV15" s="89"/>
      <c r="AW15" s="90"/>
      <c r="AX15" s="75"/>
      <c r="AY15" s="35"/>
      <c r="AZ15" s="94" t="s">
        <v>104</v>
      </c>
      <c r="BA15" s="95" t="s">
        <v>71</v>
      </c>
      <c r="BB15" s="88"/>
      <c r="BC15" s="89"/>
      <c r="BD15" s="90"/>
      <c r="BE15" s="75"/>
      <c r="BF15" s="35"/>
      <c r="BG15" s="94" t="s">
        <v>105</v>
      </c>
      <c r="BH15" s="95" t="s">
        <v>71</v>
      </c>
      <c r="BI15" s="88"/>
      <c r="BJ15" s="89"/>
      <c r="BK15" s="90"/>
      <c r="BL15" s="75"/>
      <c r="BM15" s="35"/>
      <c r="BN15" s="94" t="s">
        <v>106</v>
      </c>
      <c r="BO15" s="95" t="s">
        <v>71</v>
      </c>
      <c r="BP15" s="88"/>
      <c r="BQ15" s="89"/>
      <c r="BR15" s="90"/>
      <c r="BS15" s="75"/>
      <c r="BT15" s="35"/>
      <c r="BU15" s="94" t="s">
        <v>107</v>
      </c>
      <c r="BV15" s="95" t="s">
        <v>71</v>
      </c>
      <c r="BW15" s="88"/>
      <c r="BX15" s="89"/>
      <c r="BY15" s="90"/>
      <c r="BZ15" s="75"/>
      <c r="CA15" s="35"/>
      <c r="CB15" s="94" t="s">
        <v>108</v>
      </c>
      <c r="CC15" s="95" t="s">
        <v>71</v>
      </c>
      <c r="CD15" s="88"/>
      <c r="CE15" s="89"/>
      <c r="CF15" s="90"/>
      <c r="CG15" s="75"/>
      <c r="CH15" s="35"/>
      <c r="CI15" s="35"/>
      <c r="CJ15" s="35"/>
      <c r="CK15" s="35"/>
      <c r="CL15" s="35"/>
    </row>
    <row r="16" ht="21.75" customHeight="1">
      <c r="A16" s="35"/>
      <c r="B16" s="35"/>
      <c r="C16" s="77"/>
      <c r="D16" s="76" t="s">
        <v>83</v>
      </c>
      <c r="E16" s="73"/>
      <c r="F16" s="74"/>
      <c r="G16" s="75"/>
      <c r="H16" s="75"/>
      <c r="I16" s="70"/>
      <c r="J16" s="77"/>
      <c r="K16" s="76" t="s">
        <v>83</v>
      </c>
      <c r="L16" s="73"/>
      <c r="M16" s="74"/>
      <c r="N16" s="75"/>
      <c r="O16" s="75"/>
      <c r="P16" s="35"/>
      <c r="Q16" s="77"/>
      <c r="R16" s="76" t="s">
        <v>83</v>
      </c>
      <c r="S16" s="73"/>
      <c r="T16" s="74"/>
      <c r="U16" s="75"/>
      <c r="V16" s="75"/>
      <c r="W16" s="35"/>
      <c r="X16" s="77"/>
      <c r="Y16" s="76" t="s">
        <v>83</v>
      </c>
      <c r="Z16" s="73"/>
      <c r="AA16" s="74"/>
      <c r="AB16" s="75"/>
      <c r="AC16" s="75"/>
      <c r="AD16" s="35"/>
      <c r="AE16" s="77"/>
      <c r="AF16" s="76" t="s">
        <v>83</v>
      </c>
      <c r="AG16" s="73"/>
      <c r="AH16" s="74"/>
      <c r="AI16" s="75"/>
      <c r="AJ16" s="75"/>
      <c r="AK16" s="35"/>
      <c r="AL16" s="77"/>
      <c r="AM16" s="76" t="s">
        <v>83</v>
      </c>
      <c r="AN16" s="73"/>
      <c r="AO16" s="74"/>
      <c r="AP16" s="75"/>
      <c r="AQ16" s="75"/>
      <c r="AR16" s="35"/>
      <c r="AS16" s="77"/>
      <c r="AT16" s="76" t="s">
        <v>83</v>
      </c>
      <c r="AU16" s="73"/>
      <c r="AV16" s="74"/>
      <c r="AW16" s="75"/>
      <c r="AX16" s="75"/>
      <c r="AY16" s="35"/>
      <c r="AZ16" s="77"/>
      <c r="BA16" s="76" t="s">
        <v>83</v>
      </c>
      <c r="BB16" s="73"/>
      <c r="BC16" s="74"/>
      <c r="BD16" s="75"/>
      <c r="BE16" s="75"/>
      <c r="BF16" s="35"/>
      <c r="BG16" s="77"/>
      <c r="BH16" s="76" t="s">
        <v>83</v>
      </c>
      <c r="BI16" s="73"/>
      <c r="BJ16" s="74"/>
      <c r="BK16" s="75"/>
      <c r="BL16" s="75"/>
      <c r="BM16" s="35"/>
      <c r="BN16" s="77"/>
      <c r="BO16" s="76" t="s">
        <v>83</v>
      </c>
      <c r="BP16" s="73"/>
      <c r="BQ16" s="74"/>
      <c r="BR16" s="75"/>
      <c r="BS16" s="75"/>
      <c r="BT16" s="35"/>
      <c r="BU16" s="77"/>
      <c r="BV16" s="76" t="s">
        <v>83</v>
      </c>
      <c r="BW16" s="73"/>
      <c r="BX16" s="74"/>
      <c r="BY16" s="75"/>
      <c r="BZ16" s="75"/>
      <c r="CA16" s="35"/>
      <c r="CB16" s="77"/>
      <c r="CC16" s="76" t="s">
        <v>83</v>
      </c>
      <c r="CD16" s="73"/>
      <c r="CE16" s="74"/>
      <c r="CF16" s="75"/>
      <c r="CG16" s="75"/>
      <c r="CH16" s="35"/>
      <c r="CI16" s="35"/>
      <c r="CJ16" s="35"/>
      <c r="CK16" s="35"/>
      <c r="CL16" s="35"/>
    </row>
    <row r="17" ht="21.75" customHeight="1">
      <c r="A17" s="35"/>
      <c r="B17" s="35"/>
      <c r="C17" s="78"/>
      <c r="D17" s="84" t="s">
        <v>84</v>
      </c>
      <c r="E17" s="80"/>
      <c r="F17" s="81"/>
      <c r="G17" s="82"/>
      <c r="H17" s="82"/>
      <c r="I17" s="83"/>
      <c r="J17" s="78"/>
      <c r="K17" s="84" t="s">
        <v>84</v>
      </c>
      <c r="L17" s="80"/>
      <c r="M17" s="81"/>
      <c r="N17" s="82"/>
      <c r="O17" s="82"/>
      <c r="P17" s="35"/>
      <c r="Q17" s="78"/>
      <c r="R17" s="84" t="s">
        <v>84</v>
      </c>
      <c r="S17" s="80"/>
      <c r="T17" s="81"/>
      <c r="U17" s="82"/>
      <c r="V17" s="82"/>
      <c r="W17" s="35"/>
      <c r="X17" s="78"/>
      <c r="Y17" s="84" t="s">
        <v>84</v>
      </c>
      <c r="Z17" s="80"/>
      <c r="AA17" s="81"/>
      <c r="AB17" s="82"/>
      <c r="AC17" s="82"/>
      <c r="AD17" s="35"/>
      <c r="AE17" s="78"/>
      <c r="AF17" s="84" t="s">
        <v>84</v>
      </c>
      <c r="AG17" s="80"/>
      <c r="AH17" s="81"/>
      <c r="AI17" s="82"/>
      <c r="AJ17" s="82"/>
      <c r="AK17" s="35"/>
      <c r="AL17" s="78"/>
      <c r="AM17" s="84" t="s">
        <v>84</v>
      </c>
      <c r="AN17" s="80"/>
      <c r="AO17" s="81"/>
      <c r="AP17" s="82"/>
      <c r="AQ17" s="82"/>
      <c r="AR17" s="35"/>
      <c r="AS17" s="78"/>
      <c r="AT17" s="84" t="s">
        <v>84</v>
      </c>
      <c r="AU17" s="80"/>
      <c r="AV17" s="81"/>
      <c r="AW17" s="82"/>
      <c r="AX17" s="82"/>
      <c r="AY17" s="35"/>
      <c r="AZ17" s="78"/>
      <c r="BA17" s="84" t="s">
        <v>84</v>
      </c>
      <c r="BB17" s="80"/>
      <c r="BC17" s="81"/>
      <c r="BD17" s="82"/>
      <c r="BE17" s="82"/>
      <c r="BF17" s="35"/>
      <c r="BG17" s="78"/>
      <c r="BH17" s="84" t="s">
        <v>84</v>
      </c>
      <c r="BI17" s="80"/>
      <c r="BJ17" s="81"/>
      <c r="BK17" s="82"/>
      <c r="BL17" s="82"/>
      <c r="BM17" s="35"/>
      <c r="BN17" s="78"/>
      <c r="BO17" s="84" t="s">
        <v>84</v>
      </c>
      <c r="BP17" s="80"/>
      <c r="BQ17" s="81"/>
      <c r="BR17" s="82"/>
      <c r="BS17" s="82"/>
      <c r="BT17" s="35"/>
      <c r="BU17" s="78"/>
      <c r="BV17" s="84" t="s">
        <v>84</v>
      </c>
      <c r="BW17" s="80"/>
      <c r="BX17" s="81"/>
      <c r="BY17" s="82"/>
      <c r="BZ17" s="82"/>
      <c r="CA17" s="35"/>
      <c r="CB17" s="78"/>
      <c r="CC17" s="84" t="s">
        <v>84</v>
      </c>
      <c r="CD17" s="80"/>
      <c r="CE17" s="81"/>
      <c r="CF17" s="82"/>
      <c r="CG17" s="82"/>
      <c r="CH17" s="35"/>
      <c r="CI17" s="35"/>
      <c r="CJ17" s="35"/>
      <c r="CK17" s="35"/>
      <c r="CL17" s="35"/>
    </row>
    <row r="18" ht="3.75" customHeight="1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O18" s="85"/>
      <c r="BP18" s="85"/>
      <c r="BQ18" s="85"/>
      <c r="BR18" s="85"/>
      <c r="BS18" s="85"/>
      <c r="BT18" s="85"/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85"/>
      <c r="CF18" s="85"/>
      <c r="CG18" s="85"/>
      <c r="CH18" s="85"/>
      <c r="CI18" s="85"/>
      <c r="CJ18" s="85"/>
      <c r="CK18" s="85"/>
      <c r="CL18" s="85"/>
    </row>
    <row r="19" ht="21.75" customHeight="1">
      <c r="A19" s="35"/>
      <c r="B19" s="35"/>
      <c r="C19" s="86" t="s">
        <v>109</v>
      </c>
      <c r="D19" s="87" t="s">
        <v>71</v>
      </c>
      <c r="E19" s="88"/>
      <c r="F19" s="89"/>
      <c r="G19" s="90"/>
      <c r="H19" s="75"/>
      <c r="I19" s="91"/>
      <c r="J19" s="86" t="s">
        <v>110</v>
      </c>
      <c r="K19" s="87" t="s">
        <v>71</v>
      </c>
      <c r="L19" s="88"/>
      <c r="M19" s="89"/>
      <c r="N19" s="90"/>
      <c r="O19" s="75"/>
      <c r="P19" s="35"/>
      <c r="Q19" s="86" t="s">
        <v>111</v>
      </c>
      <c r="R19" s="87" t="s">
        <v>71</v>
      </c>
      <c r="S19" s="88"/>
      <c r="T19" s="89"/>
      <c r="U19" s="90"/>
      <c r="V19" s="75"/>
      <c r="W19" s="35"/>
      <c r="X19" s="86" t="s">
        <v>112</v>
      </c>
      <c r="Y19" s="87" t="s">
        <v>71</v>
      </c>
      <c r="Z19" s="88"/>
      <c r="AA19" s="89"/>
      <c r="AB19" s="90"/>
      <c r="AC19" s="75"/>
      <c r="AD19" s="35"/>
      <c r="AE19" s="86" t="s">
        <v>113</v>
      </c>
      <c r="AF19" s="87" t="s">
        <v>71</v>
      </c>
      <c r="AG19" s="88"/>
      <c r="AH19" s="89"/>
      <c r="AI19" s="90"/>
      <c r="AJ19" s="75"/>
      <c r="AK19" s="35"/>
      <c r="AL19" s="86" t="s">
        <v>114</v>
      </c>
      <c r="AM19" s="87" t="s">
        <v>71</v>
      </c>
      <c r="AN19" s="88"/>
      <c r="AO19" s="89"/>
      <c r="AP19" s="90"/>
      <c r="AQ19" s="75"/>
      <c r="AR19" s="35"/>
      <c r="AS19" s="86" t="s">
        <v>115</v>
      </c>
      <c r="AT19" s="87" t="s">
        <v>71</v>
      </c>
      <c r="AU19" s="88"/>
      <c r="AV19" s="89"/>
      <c r="AW19" s="90"/>
      <c r="AX19" s="75"/>
      <c r="AY19" s="35"/>
      <c r="AZ19" s="86" t="s">
        <v>116</v>
      </c>
      <c r="BA19" s="87" t="s">
        <v>71</v>
      </c>
      <c r="BB19" s="88"/>
      <c r="BC19" s="89"/>
      <c r="BD19" s="90"/>
      <c r="BE19" s="75"/>
      <c r="BF19" s="35"/>
      <c r="BG19" s="86" t="s">
        <v>117</v>
      </c>
      <c r="BH19" s="87" t="s">
        <v>71</v>
      </c>
      <c r="BI19" s="88"/>
      <c r="BJ19" s="89"/>
      <c r="BK19" s="90"/>
      <c r="BL19" s="75"/>
      <c r="BM19" s="35"/>
      <c r="BN19" s="86" t="s">
        <v>118</v>
      </c>
      <c r="BO19" s="87" t="s">
        <v>71</v>
      </c>
      <c r="BP19" s="88"/>
      <c r="BQ19" s="89"/>
      <c r="BR19" s="90"/>
      <c r="BS19" s="75"/>
      <c r="BT19" s="35"/>
      <c r="BU19" s="86" t="s">
        <v>119</v>
      </c>
      <c r="BV19" s="87" t="s">
        <v>71</v>
      </c>
      <c r="BW19" s="88"/>
      <c r="BX19" s="89"/>
      <c r="BY19" s="90"/>
      <c r="BZ19" s="75"/>
      <c r="CA19" s="35"/>
      <c r="CB19" s="86" t="s">
        <v>120</v>
      </c>
      <c r="CC19" s="87" t="s">
        <v>71</v>
      </c>
      <c r="CD19" s="88"/>
      <c r="CE19" s="89"/>
      <c r="CF19" s="90"/>
      <c r="CG19" s="75"/>
      <c r="CH19" s="35"/>
      <c r="CI19" s="35"/>
      <c r="CJ19" s="35"/>
      <c r="CK19" s="35"/>
      <c r="CL19" s="35"/>
    </row>
    <row r="20" ht="21.75" customHeight="1">
      <c r="A20" s="35"/>
      <c r="B20" s="35"/>
      <c r="C20" s="77"/>
      <c r="D20" s="92" t="s">
        <v>83</v>
      </c>
      <c r="E20" s="73"/>
      <c r="F20" s="74"/>
      <c r="G20" s="75"/>
      <c r="H20" s="75"/>
      <c r="I20" s="70"/>
      <c r="J20" s="77"/>
      <c r="K20" s="92" t="s">
        <v>83</v>
      </c>
      <c r="L20" s="73"/>
      <c r="M20" s="74"/>
      <c r="N20" s="75"/>
      <c r="O20" s="75"/>
      <c r="P20" s="35"/>
      <c r="Q20" s="77"/>
      <c r="R20" s="92" t="s">
        <v>83</v>
      </c>
      <c r="S20" s="73"/>
      <c r="T20" s="74"/>
      <c r="U20" s="75"/>
      <c r="V20" s="75"/>
      <c r="W20" s="35"/>
      <c r="X20" s="77"/>
      <c r="Y20" s="92" t="s">
        <v>83</v>
      </c>
      <c r="Z20" s="73"/>
      <c r="AA20" s="74"/>
      <c r="AB20" s="75"/>
      <c r="AC20" s="75"/>
      <c r="AD20" s="35"/>
      <c r="AE20" s="77"/>
      <c r="AF20" s="92" t="s">
        <v>83</v>
      </c>
      <c r="AG20" s="73"/>
      <c r="AH20" s="74"/>
      <c r="AI20" s="75"/>
      <c r="AJ20" s="75"/>
      <c r="AK20" s="35"/>
      <c r="AL20" s="77"/>
      <c r="AM20" s="92" t="s">
        <v>83</v>
      </c>
      <c r="AN20" s="73"/>
      <c r="AO20" s="74"/>
      <c r="AP20" s="75"/>
      <c r="AQ20" s="75"/>
      <c r="AR20" s="35"/>
      <c r="AS20" s="77"/>
      <c r="AT20" s="92" t="s">
        <v>83</v>
      </c>
      <c r="AU20" s="73"/>
      <c r="AV20" s="74"/>
      <c r="AW20" s="75"/>
      <c r="AX20" s="75"/>
      <c r="AY20" s="35"/>
      <c r="AZ20" s="77"/>
      <c r="BA20" s="92" t="s">
        <v>83</v>
      </c>
      <c r="BB20" s="73"/>
      <c r="BC20" s="74"/>
      <c r="BD20" s="75"/>
      <c r="BE20" s="75"/>
      <c r="BF20" s="35"/>
      <c r="BG20" s="77"/>
      <c r="BH20" s="92" t="s">
        <v>83</v>
      </c>
      <c r="BI20" s="73"/>
      <c r="BJ20" s="74"/>
      <c r="BK20" s="75"/>
      <c r="BL20" s="75"/>
      <c r="BM20" s="35"/>
      <c r="BN20" s="77"/>
      <c r="BO20" s="92" t="s">
        <v>83</v>
      </c>
      <c r="BP20" s="73"/>
      <c r="BQ20" s="74"/>
      <c r="BR20" s="75"/>
      <c r="BS20" s="75"/>
      <c r="BT20" s="35"/>
      <c r="BU20" s="77"/>
      <c r="BV20" s="92" t="s">
        <v>83</v>
      </c>
      <c r="BW20" s="73"/>
      <c r="BX20" s="74"/>
      <c r="BY20" s="75"/>
      <c r="BZ20" s="75"/>
      <c r="CA20" s="35"/>
      <c r="CB20" s="77"/>
      <c r="CC20" s="92" t="s">
        <v>83</v>
      </c>
      <c r="CD20" s="73"/>
      <c r="CE20" s="74"/>
      <c r="CF20" s="75"/>
      <c r="CG20" s="75"/>
      <c r="CH20" s="35"/>
      <c r="CI20" s="35"/>
      <c r="CJ20" s="35"/>
      <c r="CK20" s="35"/>
      <c r="CL20" s="35"/>
    </row>
    <row r="21" ht="21.75" customHeight="1">
      <c r="A21" s="35"/>
      <c r="B21" s="35"/>
      <c r="C21" s="78"/>
      <c r="D21" s="93" t="s">
        <v>84</v>
      </c>
      <c r="E21" s="80"/>
      <c r="F21" s="81"/>
      <c r="G21" s="82"/>
      <c r="H21" s="82"/>
      <c r="I21" s="83"/>
      <c r="J21" s="78"/>
      <c r="K21" s="93" t="s">
        <v>84</v>
      </c>
      <c r="L21" s="80"/>
      <c r="M21" s="81"/>
      <c r="N21" s="82"/>
      <c r="O21" s="82"/>
      <c r="P21" s="35"/>
      <c r="Q21" s="78"/>
      <c r="R21" s="93" t="s">
        <v>84</v>
      </c>
      <c r="S21" s="80"/>
      <c r="T21" s="81"/>
      <c r="U21" s="82"/>
      <c r="V21" s="82"/>
      <c r="W21" s="35"/>
      <c r="X21" s="78"/>
      <c r="Y21" s="93" t="s">
        <v>84</v>
      </c>
      <c r="Z21" s="80"/>
      <c r="AA21" s="81"/>
      <c r="AB21" s="82"/>
      <c r="AC21" s="82"/>
      <c r="AD21" s="35"/>
      <c r="AE21" s="78"/>
      <c r="AF21" s="93" t="s">
        <v>84</v>
      </c>
      <c r="AG21" s="80"/>
      <c r="AH21" s="81"/>
      <c r="AI21" s="82"/>
      <c r="AJ21" s="82"/>
      <c r="AK21" s="35"/>
      <c r="AL21" s="78"/>
      <c r="AM21" s="93" t="s">
        <v>84</v>
      </c>
      <c r="AN21" s="80"/>
      <c r="AO21" s="81"/>
      <c r="AP21" s="82"/>
      <c r="AQ21" s="82"/>
      <c r="AR21" s="35"/>
      <c r="AS21" s="78"/>
      <c r="AT21" s="93" t="s">
        <v>84</v>
      </c>
      <c r="AU21" s="80"/>
      <c r="AV21" s="81"/>
      <c r="AW21" s="82"/>
      <c r="AX21" s="82"/>
      <c r="AY21" s="35"/>
      <c r="AZ21" s="78"/>
      <c r="BA21" s="93" t="s">
        <v>84</v>
      </c>
      <c r="BB21" s="80"/>
      <c r="BC21" s="81"/>
      <c r="BD21" s="82"/>
      <c r="BE21" s="82"/>
      <c r="BF21" s="35"/>
      <c r="BG21" s="78"/>
      <c r="BH21" s="93" t="s">
        <v>84</v>
      </c>
      <c r="BI21" s="80"/>
      <c r="BJ21" s="81"/>
      <c r="BK21" s="82"/>
      <c r="BL21" s="82"/>
      <c r="BM21" s="35"/>
      <c r="BN21" s="78"/>
      <c r="BO21" s="93" t="s">
        <v>84</v>
      </c>
      <c r="BP21" s="80"/>
      <c r="BQ21" s="81"/>
      <c r="BR21" s="82"/>
      <c r="BS21" s="82"/>
      <c r="BT21" s="35"/>
      <c r="BU21" s="78"/>
      <c r="BV21" s="93" t="s">
        <v>84</v>
      </c>
      <c r="BW21" s="80"/>
      <c r="BX21" s="81"/>
      <c r="BY21" s="82"/>
      <c r="BZ21" s="82"/>
      <c r="CA21" s="35"/>
      <c r="CB21" s="78"/>
      <c r="CC21" s="93" t="s">
        <v>84</v>
      </c>
      <c r="CD21" s="80"/>
      <c r="CE21" s="81"/>
      <c r="CF21" s="82"/>
      <c r="CG21" s="82"/>
      <c r="CH21" s="35"/>
      <c r="CI21" s="35"/>
      <c r="CJ21" s="35"/>
      <c r="CK21" s="35"/>
      <c r="CL21" s="35"/>
    </row>
    <row r="22" ht="3.75" customHeight="1">
      <c r="A22" s="35"/>
      <c r="B22" s="35"/>
      <c r="C22" s="96"/>
      <c r="D22" s="97"/>
      <c r="E22" s="97"/>
      <c r="F22" s="97"/>
      <c r="G22" s="97"/>
      <c r="H22" s="97"/>
      <c r="I22" s="98"/>
      <c r="J22" s="98"/>
      <c r="K22" s="98"/>
      <c r="L22" s="99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</row>
    <row r="23" ht="30.0" customHeight="1">
      <c r="A23" s="35"/>
      <c r="B23" s="35"/>
      <c r="C23" s="94" t="s">
        <v>121</v>
      </c>
      <c r="D23" s="95" t="s">
        <v>71</v>
      </c>
      <c r="E23" s="88"/>
      <c r="F23" s="89"/>
      <c r="G23" s="90"/>
      <c r="H23" s="7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94" t="s">
        <v>122</v>
      </c>
      <c r="Y23" s="95" t="s">
        <v>71</v>
      </c>
      <c r="Z23" s="88"/>
      <c r="AA23" s="89"/>
      <c r="AB23" s="90"/>
      <c r="AC23" s="7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94" t="s">
        <v>123</v>
      </c>
      <c r="AT23" s="95" t="s">
        <v>71</v>
      </c>
      <c r="AU23" s="88"/>
      <c r="AV23" s="89"/>
      <c r="AW23" s="90"/>
      <c r="AX23" s="7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</row>
    <row r="24" ht="30.0" customHeight="1">
      <c r="A24" s="35"/>
      <c r="B24" s="35"/>
      <c r="C24" s="77"/>
      <c r="D24" s="76" t="s">
        <v>83</v>
      </c>
      <c r="E24" s="73"/>
      <c r="F24" s="74"/>
      <c r="G24" s="75"/>
      <c r="H24" s="7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77"/>
      <c r="Y24" s="76" t="s">
        <v>83</v>
      </c>
      <c r="Z24" s="73"/>
      <c r="AA24" s="74"/>
      <c r="AB24" s="75"/>
      <c r="AC24" s="7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77"/>
      <c r="AT24" s="76" t="s">
        <v>83</v>
      </c>
      <c r="AU24" s="73"/>
      <c r="AV24" s="74"/>
      <c r="AW24" s="75"/>
      <c r="AX24" s="7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</row>
    <row r="25" ht="30.0" customHeight="1">
      <c r="A25" s="35"/>
      <c r="B25" s="35"/>
      <c r="C25" s="78"/>
      <c r="D25" s="84" t="s">
        <v>84</v>
      </c>
      <c r="E25" s="80"/>
      <c r="F25" s="81"/>
      <c r="G25" s="82"/>
      <c r="H25" s="82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78"/>
      <c r="Y25" s="84" t="s">
        <v>84</v>
      </c>
      <c r="Z25" s="80"/>
      <c r="AA25" s="81"/>
      <c r="AB25" s="82"/>
      <c r="AC25" s="82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78"/>
      <c r="AT25" s="84" t="s">
        <v>84</v>
      </c>
      <c r="AU25" s="80"/>
      <c r="AV25" s="81"/>
      <c r="AW25" s="82"/>
      <c r="AX25" s="82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</row>
    <row r="26" ht="30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</row>
    <row r="27" ht="24.0" customHeight="1">
      <c r="A27" s="35"/>
      <c r="B27" s="35"/>
      <c r="C27" s="63" t="s">
        <v>124</v>
      </c>
      <c r="D27" s="3"/>
      <c r="E27" s="3"/>
      <c r="F27" s="3"/>
      <c r="G27" s="3"/>
      <c r="H27" s="3"/>
      <c r="I27" s="3"/>
      <c r="J27" s="4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</row>
    <row r="28" ht="38.25" customHeight="1">
      <c r="A28" s="35"/>
      <c r="B28" s="35"/>
      <c r="C28" s="16" t="s">
        <v>32</v>
      </c>
      <c r="D28" s="38" t="s">
        <v>33</v>
      </c>
      <c r="E28" s="38" t="s">
        <v>34</v>
      </c>
      <c r="F28" s="38" t="s">
        <v>35</v>
      </c>
      <c r="G28" s="38" t="s">
        <v>36</v>
      </c>
      <c r="H28" s="38" t="s">
        <v>37</v>
      </c>
      <c r="I28" s="38" t="s">
        <v>38</v>
      </c>
      <c r="J28" s="38" t="s">
        <v>39</v>
      </c>
      <c r="K28" s="38" t="s">
        <v>40</v>
      </c>
      <c r="L28" s="38" t="s">
        <v>41</v>
      </c>
      <c r="M28" s="38" t="s">
        <v>42</v>
      </c>
      <c r="N28" s="38" t="s">
        <v>43</v>
      </c>
      <c r="O28" s="38" t="s">
        <v>44</v>
      </c>
      <c r="P28" s="38" t="s">
        <v>45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</row>
    <row r="29" ht="38.25" customHeight="1">
      <c r="A29" s="1"/>
      <c r="B29" s="100">
        <v>2025.0</v>
      </c>
      <c r="C29" s="39" t="s">
        <v>20</v>
      </c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2">
        <f t="shared" ref="P29:P34" si="1">SUM(D29:O29)</f>
        <v>0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</row>
    <row r="30" ht="38.25" customHeight="1">
      <c r="A30" s="1"/>
      <c r="C30" s="39" t="s">
        <v>20</v>
      </c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2">
        <f t="shared" si="1"/>
        <v>0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</row>
    <row r="31" ht="38.25" customHeight="1">
      <c r="A31" s="1"/>
      <c r="C31" s="39" t="s">
        <v>20</v>
      </c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2">
        <f t="shared" si="1"/>
        <v>0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</row>
    <row r="32" ht="38.25" customHeight="1">
      <c r="A32" s="1"/>
      <c r="C32" s="39" t="s">
        <v>20</v>
      </c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2">
        <f t="shared" si="1"/>
        <v>0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</row>
    <row r="33" ht="38.25" customHeight="1">
      <c r="A33" s="1"/>
      <c r="C33" s="39" t="s">
        <v>20</v>
      </c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2">
        <f t="shared" si="1"/>
        <v>0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</row>
    <row r="34" ht="38.25" customHeight="1">
      <c r="A34" s="1"/>
      <c r="C34" s="39" t="s">
        <v>20</v>
      </c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2">
        <f t="shared" si="1"/>
        <v>0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</row>
    <row r="35" ht="3.75" customHeight="1">
      <c r="A35" s="1"/>
      <c r="B35" s="103"/>
      <c r="C35" s="104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6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</row>
    <row r="36" ht="38.25" customHeight="1">
      <c r="A36" s="1"/>
      <c r="B36" s="100">
        <v>2026.0</v>
      </c>
      <c r="C36" s="39" t="s">
        <v>20</v>
      </c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2">
        <f t="shared" ref="P36:P41" si="2">SUM(D36:O36)</f>
        <v>0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</row>
    <row r="37" ht="38.25" customHeight="1">
      <c r="A37" s="1"/>
      <c r="C37" s="39" t="s">
        <v>20</v>
      </c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2">
        <f t="shared" si="2"/>
        <v>0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</row>
    <row r="38" ht="38.25" customHeight="1">
      <c r="A38" s="1"/>
      <c r="C38" s="39" t="s">
        <v>20</v>
      </c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2">
        <f t="shared" si="2"/>
        <v>0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</row>
    <row r="39" ht="38.25" customHeight="1">
      <c r="A39" s="1"/>
      <c r="C39" s="39" t="s">
        <v>20</v>
      </c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2">
        <f t="shared" si="2"/>
        <v>0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</row>
    <row r="40" ht="38.25" customHeight="1">
      <c r="A40" s="1"/>
      <c r="C40" s="39" t="s">
        <v>20</v>
      </c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2">
        <f t="shared" si="2"/>
        <v>0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</row>
    <row r="41" ht="38.25" customHeight="1">
      <c r="A41" s="1"/>
      <c r="C41" s="39" t="s">
        <v>20</v>
      </c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2">
        <f t="shared" si="2"/>
        <v>0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</row>
    <row r="42" ht="6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</row>
    <row r="43" ht="18.0" customHeight="1">
      <c r="A43" s="1"/>
      <c r="B43" s="1"/>
      <c r="C43" s="54" t="s">
        <v>125</v>
      </c>
      <c r="D43" s="3"/>
      <c r="E43" s="3"/>
      <c r="F43" s="3"/>
      <c r="G43" s="3"/>
      <c r="H43" s="3"/>
      <c r="I43" s="3"/>
      <c r="J43" s="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</row>
  </sheetData>
  <mergeCells count="57">
    <mergeCell ref="BN19:BN21"/>
    <mergeCell ref="BU19:BU21"/>
    <mergeCell ref="Q19:Q21"/>
    <mergeCell ref="X19:X21"/>
    <mergeCell ref="AE19:AE21"/>
    <mergeCell ref="AL19:AL21"/>
    <mergeCell ref="AS19:AS21"/>
    <mergeCell ref="AZ19:AZ21"/>
    <mergeCell ref="BG19:BG21"/>
    <mergeCell ref="B29:B34"/>
    <mergeCell ref="B36:B41"/>
    <mergeCell ref="C23:C25"/>
    <mergeCell ref="C27:J27"/>
    <mergeCell ref="C43:J43"/>
    <mergeCell ref="AL7:AL9"/>
    <mergeCell ref="AS7:AS9"/>
    <mergeCell ref="AZ7:AZ9"/>
    <mergeCell ref="BG7:BG9"/>
    <mergeCell ref="BN7:BN9"/>
    <mergeCell ref="BU7:BU9"/>
    <mergeCell ref="CB7:CB9"/>
    <mergeCell ref="AE11:AE13"/>
    <mergeCell ref="AL11:AL13"/>
    <mergeCell ref="AS11:AS13"/>
    <mergeCell ref="AZ11:AZ13"/>
    <mergeCell ref="BG11:BG13"/>
    <mergeCell ref="BN11:BN13"/>
    <mergeCell ref="BU11:BU13"/>
    <mergeCell ref="CB11:CB13"/>
    <mergeCell ref="C2:J2"/>
    <mergeCell ref="C4:H4"/>
    <mergeCell ref="C7:C9"/>
    <mergeCell ref="Q7:Q9"/>
    <mergeCell ref="AE7:AE9"/>
    <mergeCell ref="C11:C13"/>
    <mergeCell ref="Q11:Q13"/>
    <mergeCell ref="BG15:BG17"/>
    <mergeCell ref="BN15:BN17"/>
    <mergeCell ref="BU15:BU17"/>
    <mergeCell ref="CB15:CB17"/>
    <mergeCell ref="CB19:CB21"/>
    <mergeCell ref="X7:X9"/>
    <mergeCell ref="X11:X13"/>
    <mergeCell ref="X15:X17"/>
    <mergeCell ref="AE15:AE17"/>
    <mergeCell ref="AL15:AL17"/>
    <mergeCell ref="AS15:AS17"/>
    <mergeCell ref="AZ15:AZ17"/>
    <mergeCell ref="AS23:AS25"/>
    <mergeCell ref="J7:J9"/>
    <mergeCell ref="J11:J13"/>
    <mergeCell ref="C15:C17"/>
    <mergeCell ref="J15:J17"/>
    <mergeCell ref="Q15:Q17"/>
    <mergeCell ref="C19:C21"/>
    <mergeCell ref="J19:J21"/>
    <mergeCell ref="X23:X25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.63"/>
    <col customWidth="1" min="2" max="2" width="21.0"/>
    <col customWidth="1" min="3" max="5" width="14.0"/>
    <col customWidth="1" min="6" max="6" width="2.63"/>
    <col customWidth="1" min="7" max="8" width="19.25"/>
    <col customWidth="1" min="9" max="10" width="12.25"/>
    <col customWidth="1" min="11" max="11" width="2.63"/>
    <col customWidth="1" min="12" max="12" width="7.63"/>
    <col customWidth="1" min="13" max="13" width="2.13"/>
    <col customWidth="1" min="14" max="14" width="14.0"/>
    <col customWidth="1" min="15" max="15" width="7.63"/>
    <col customWidth="1" min="16" max="16" width="18.88"/>
    <col customWidth="1" min="17" max="21" width="7.63"/>
  </cols>
  <sheetData>
    <row r="1" ht="7.5" customHeight="1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63.75" customHeight="1">
      <c r="A2" s="108"/>
      <c r="B2" s="109" t="s">
        <v>126</v>
      </c>
      <c r="C2" s="3"/>
      <c r="D2" s="3"/>
      <c r="E2" s="3"/>
      <c r="F2" s="3"/>
      <c r="G2" s="3"/>
      <c r="H2" s="3"/>
      <c r="I2" s="3"/>
      <c r="J2" s="4"/>
      <c r="K2" s="108"/>
      <c r="L2" s="35"/>
      <c r="M2" s="110"/>
      <c r="N2" s="111" t="s">
        <v>127</v>
      </c>
      <c r="O2" s="112"/>
      <c r="P2" s="113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ht="9.75" customHeight="1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30.0" customHeight="1">
      <c r="A4" s="108"/>
      <c r="B4" s="114" t="s">
        <v>128</v>
      </c>
      <c r="C4" s="3"/>
      <c r="D4" s="3"/>
      <c r="E4" s="4"/>
      <c r="F4" s="108"/>
      <c r="G4" s="115" t="s">
        <v>129</v>
      </c>
      <c r="H4" s="3"/>
      <c r="I4" s="3"/>
      <c r="J4" s="4"/>
      <c r="K4" s="108"/>
      <c r="L4" s="35"/>
      <c r="M4" s="116"/>
      <c r="N4" s="55" t="s">
        <v>130</v>
      </c>
      <c r="O4" s="19"/>
      <c r="P4" s="117">
        <v>-129071.0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ht="24.75" customHeight="1">
      <c r="A5" s="108"/>
      <c r="B5" s="16" t="s">
        <v>131</v>
      </c>
      <c r="C5" s="16" t="s">
        <v>132</v>
      </c>
      <c r="D5" s="16" t="s">
        <v>133</v>
      </c>
      <c r="E5" s="16" t="s">
        <v>134</v>
      </c>
      <c r="F5" s="108"/>
      <c r="G5" s="118" t="s">
        <v>131</v>
      </c>
      <c r="H5" s="16" t="s">
        <v>20</v>
      </c>
      <c r="I5" s="16" t="s">
        <v>135</v>
      </c>
      <c r="J5" s="16" t="s">
        <v>134</v>
      </c>
      <c r="K5" s="108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 ht="9.75" customHeight="1">
      <c r="A6" s="107"/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30.0" customHeight="1">
      <c r="A7" s="107"/>
      <c r="B7" s="119" t="s">
        <v>56</v>
      </c>
      <c r="C7" s="120" t="str">
        <f>'DATOS CRUDOS PLANTILLA'!C24</f>
        <v/>
      </c>
      <c r="D7" s="121" t="str">
        <f>'DATOS CRUDOS PLANTILLA'!C22</f>
        <v/>
      </c>
      <c r="E7" s="122" t="str">
        <f t="shared" ref="E7:E18" si="1">IF(C7="","⏳ PENDIENTE", IF(C7&gt;0, "🔴 NEGATIVO","✅ POSITIVO"))</f>
        <v>⏳ PENDIENTE</v>
      </c>
      <c r="F7" s="107"/>
      <c r="G7" s="123" t="s">
        <v>56</v>
      </c>
      <c r="H7" s="124" t="s">
        <v>20</v>
      </c>
      <c r="I7" s="125" t="str">
        <f>'DATOS CRUDOS PLANTILLA'!C27</f>
        <v/>
      </c>
      <c r="J7" s="122" t="str">
        <f>IF(I7="","⏳ PENDIENTE", IF(I7&gt;9,"✅ OK","🔴 Obj: &gt;9"))</f>
        <v>⏳ PENDIENTE</v>
      </c>
      <c r="K7" s="107"/>
      <c r="L7" s="1"/>
      <c r="M7" s="126" t="s">
        <v>136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30.0" customHeight="1">
      <c r="A8" s="107"/>
      <c r="B8" s="127" t="s">
        <v>57</v>
      </c>
      <c r="C8" s="120" t="str">
        <f>'DATOS CRUDOS PLANTILLA'!D24</f>
        <v/>
      </c>
      <c r="D8" s="121" t="str">
        <f>'DATOS CRUDOS PLANTILLA'!D22</f>
        <v/>
      </c>
      <c r="E8" s="122" t="str">
        <f t="shared" si="1"/>
        <v>⏳ PENDIENTE</v>
      </c>
      <c r="F8" s="107"/>
      <c r="H8" s="128" t="s">
        <v>20</v>
      </c>
      <c r="I8" s="129" t="str">
        <f>'DATOS CRUDOS PLANTILLA'!C28</f>
        <v/>
      </c>
      <c r="J8" s="130" t="str">
        <f>IF(I8="","⏳ PENDIENTE", IF(I8&gt;95,"✅ OK","🔴 Obj: &gt;95"))</f>
        <v>⏳ PENDIENTE</v>
      </c>
      <c r="K8" s="107"/>
      <c r="L8" s="1"/>
      <c r="M8" s="131"/>
      <c r="N8" s="131"/>
      <c r="O8" s="131"/>
      <c r="P8" s="131"/>
      <c r="Q8" s="132"/>
      <c r="R8" s="132"/>
      <c r="S8" s="132"/>
      <c r="T8" s="132"/>
      <c r="U8" s="132"/>
      <c r="V8" s="1"/>
      <c r="W8" s="1"/>
      <c r="X8" s="1"/>
      <c r="Y8" s="1"/>
      <c r="Z8" s="1"/>
      <c r="AA8" s="1"/>
    </row>
    <row r="9" ht="30.0" customHeight="1">
      <c r="A9" s="107"/>
      <c r="B9" s="119" t="s">
        <v>58</v>
      </c>
      <c r="C9" s="133" t="str">
        <f>'DATOS CRUDOS PLANTILLA'!E24</f>
        <v/>
      </c>
      <c r="D9" s="121" t="str">
        <f>'DATOS CRUDOS PLANTILLA'!E22</f>
        <v/>
      </c>
      <c r="E9" s="122" t="str">
        <f t="shared" si="1"/>
        <v>⏳ PENDIENTE</v>
      </c>
      <c r="F9" s="107"/>
      <c r="H9" s="124" t="s">
        <v>20</v>
      </c>
      <c r="I9" s="129" t="str">
        <f>'DATOS CRUDOS PLANTILLA'!C29</f>
        <v/>
      </c>
      <c r="J9" s="130" t="str">
        <f>IF(I9="","⏳ PENDIENTE", IF(I9&lt;2,"✅ OK","🔴 Obj: &lt;2"))</f>
        <v>⏳ PENDIENTE</v>
      </c>
      <c r="K9" s="107"/>
      <c r="L9" s="1"/>
      <c r="M9" s="134"/>
      <c r="N9" s="135"/>
      <c r="O9" s="3"/>
      <c r="P9" s="4"/>
      <c r="Q9" s="132"/>
      <c r="R9" s="132"/>
      <c r="S9" s="132"/>
      <c r="T9" s="132"/>
      <c r="U9" s="132"/>
      <c r="V9" s="1"/>
      <c r="W9" s="1"/>
      <c r="X9" s="1"/>
      <c r="Y9" s="1"/>
      <c r="Z9" s="1"/>
      <c r="AA9" s="1"/>
    </row>
    <row r="10" ht="51.75" customHeight="1">
      <c r="A10" s="107"/>
      <c r="B10" s="127" t="s">
        <v>59</v>
      </c>
      <c r="C10" s="133" t="str">
        <f>'DATOS CRUDOS PLANTILLA'!F24</f>
        <v/>
      </c>
      <c r="D10" s="121" t="str">
        <f>'DATOS CRUDOS PLANTILLA'!F22</f>
        <v/>
      </c>
      <c r="E10" s="122" t="str">
        <f t="shared" si="1"/>
        <v>⏳ PENDIENTE</v>
      </c>
      <c r="F10" s="107"/>
      <c r="H10" s="128" t="s">
        <v>20</v>
      </c>
      <c r="I10" s="136" t="str">
        <f>'DATOS CRUDOS PLANTILLA'!C30</f>
        <v/>
      </c>
      <c r="J10" s="137" t="s">
        <v>21</v>
      </c>
      <c r="K10" s="107"/>
      <c r="L10" s="1"/>
      <c r="M10" s="132"/>
      <c r="N10" s="132"/>
      <c r="O10" s="132"/>
      <c r="P10" s="132"/>
      <c r="Q10" s="132"/>
      <c r="R10" s="132"/>
      <c r="S10" s="132"/>
      <c r="T10" s="132"/>
      <c r="U10" s="132"/>
      <c r="V10" s="1"/>
      <c r="W10" s="1"/>
      <c r="X10" s="1"/>
      <c r="Y10" s="1"/>
      <c r="Z10" s="1"/>
      <c r="AA10" s="1"/>
    </row>
    <row r="11" ht="30.0" customHeight="1">
      <c r="A11" s="107"/>
      <c r="B11" s="119" t="s">
        <v>60</v>
      </c>
      <c r="C11" s="133" t="str">
        <f>'DATOS CRUDOS PLANTILLA'!G24</f>
        <v/>
      </c>
      <c r="D11" s="121" t="str">
        <f>'DATOS CRUDOS PLANTILLA'!G22</f>
        <v/>
      </c>
      <c r="E11" s="122" t="str">
        <f t="shared" si="1"/>
        <v>⏳ PENDIENTE</v>
      </c>
      <c r="F11" s="107"/>
      <c r="H11" s="124" t="s">
        <v>20</v>
      </c>
      <c r="I11" s="138" t="str">
        <f>'DATOS CRUDOS PLANTILLA'!C31</f>
        <v/>
      </c>
      <c r="J11" s="130" t="str">
        <f>IF(I11="","⏳ PENDIENTE", IF(I11&gt;2000,"✅ OK","🔴 Obj: 2000"))</f>
        <v>⏳ PENDIENTE</v>
      </c>
      <c r="K11" s="107"/>
      <c r="L11" s="1"/>
      <c r="M11" s="131"/>
      <c r="N11" s="131"/>
      <c r="O11" s="131"/>
      <c r="P11" s="131"/>
      <c r="Q11" s="132"/>
      <c r="R11" s="132"/>
      <c r="S11" s="132"/>
      <c r="T11" s="132"/>
      <c r="U11" s="132"/>
      <c r="V11" s="1"/>
      <c r="W11" s="1"/>
      <c r="X11" s="1"/>
      <c r="Y11" s="1"/>
      <c r="Z11" s="1"/>
      <c r="AA11" s="1"/>
    </row>
    <row r="12" ht="30.0" customHeight="1">
      <c r="A12" s="107"/>
      <c r="B12" s="127" t="s">
        <v>61</v>
      </c>
      <c r="C12" s="133" t="str">
        <f>'DATOS CRUDOS PLANTILLA'!H24</f>
        <v/>
      </c>
      <c r="D12" s="121" t="str">
        <f>'DATOS CRUDOS PLANTILLA'!H22</f>
        <v/>
      </c>
      <c r="E12" s="122" t="str">
        <f t="shared" si="1"/>
        <v>⏳ PENDIENTE</v>
      </c>
      <c r="F12" s="107"/>
      <c r="G12" s="139" t="s">
        <v>57</v>
      </c>
      <c r="H12" s="128" t="s">
        <v>20</v>
      </c>
      <c r="I12" s="140" t="str">
        <f>'DATOS CRUDOS PLANTILLA'!D27</f>
        <v/>
      </c>
      <c r="J12" s="141" t="str">
        <f>IF(I12="","⏳ PENDIENTE", IF(I12&gt;9,"✅ OK","🔴 Obj: &gt;9"))</f>
        <v>⏳ PENDIENTE</v>
      </c>
      <c r="K12" s="107"/>
      <c r="L12" s="1"/>
      <c r="M12" s="132"/>
      <c r="N12" s="132"/>
      <c r="O12" s="132"/>
      <c r="P12" s="132"/>
      <c r="Q12" s="132"/>
      <c r="R12" s="132"/>
      <c r="S12" s="132"/>
      <c r="T12" s="132"/>
      <c r="U12" s="132"/>
      <c r="V12" s="1"/>
      <c r="W12" s="1"/>
      <c r="X12" s="1"/>
      <c r="Y12" s="1"/>
      <c r="Z12" s="1"/>
      <c r="AA12" s="1"/>
    </row>
    <row r="13" ht="30.0" customHeight="1">
      <c r="A13" s="107"/>
      <c r="B13" s="119" t="s">
        <v>62</v>
      </c>
      <c r="C13" s="133" t="str">
        <f>'DATOS CRUDOS PLANTILLA'!I24</f>
        <v/>
      </c>
      <c r="D13" s="121" t="str">
        <f>'DATOS CRUDOS PLANTILLA'!I22</f>
        <v/>
      </c>
      <c r="E13" s="122" t="str">
        <f t="shared" si="1"/>
        <v>⏳ PENDIENTE</v>
      </c>
      <c r="F13" s="107"/>
      <c r="H13" s="124" t="s">
        <v>20</v>
      </c>
      <c r="I13" s="142" t="str">
        <f>'DATOS CRUDOS PLANTILLA'!D28</f>
        <v/>
      </c>
      <c r="J13" s="141" t="str">
        <f>IF(I13="","⏳ PENDIENTE", IF(I13&gt;95,"✅ OK","🔴 Obj: &gt;95"))</f>
        <v>⏳ PENDIENTE</v>
      </c>
      <c r="K13" s="107"/>
      <c r="L13" s="107"/>
      <c r="M13" s="131"/>
      <c r="N13" s="131"/>
      <c r="O13" s="131"/>
      <c r="P13" s="131"/>
      <c r="Q13" s="132"/>
      <c r="R13" s="132"/>
      <c r="S13" s="132"/>
      <c r="T13" s="132"/>
      <c r="U13" s="132"/>
      <c r="V13" s="1"/>
      <c r="W13" s="1"/>
      <c r="X13" s="1"/>
      <c r="Y13" s="1"/>
      <c r="Z13" s="1"/>
      <c r="AA13" s="1"/>
    </row>
    <row r="14" ht="30.0" customHeight="1">
      <c r="A14" s="107"/>
      <c r="B14" s="127" t="s">
        <v>63</v>
      </c>
      <c r="C14" s="133" t="str">
        <f>'DATOS CRUDOS PLANTILLA'!J24</f>
        <v/>
      </c>
      <c r="D14" s="121" t="str">
        <f>'DATOS CRUDOS PLANTILLA'!J22</f>
        <v/>
      </c>
      <c r="E14" s="122" t="str">
        <f t="shared" si="1"/>
        <v>⏳ PENDIENTE</v>
      </c>
      <c r="F14" s="107"/>
      <c r="H14" s="128" t="s">
        <v>20</v>
      </c>
      <c r="I14" s="142" t="str">
        <f>'DATOS CRUDOS PLANTILLA'!D29</f>
        <v/>
      </c>
      <c r="J14" s="141" t="str">
        <f>IF(I14="","⏳ PENDIENTE", IF(I14&lt;2,"✅ OK","🔴 Obj: &lt;2"))</f>
        <v>⏳ PENDIENTE</v>
      </c>
      <c r="K14" s="107"/>
      <c r="L14" s="1"/>
      <c r="M14" s="132"/>
      <c r="N14" s="132"/>
      <c r="O14" s="132"/>
      <c r="P14" s="132"/>
      <c r="Q14" s="132"/>
      <c r="R14" s="132"/>
      <c r="S14" s="132"/>
      <c r="T14" s="132"/>
      <c r="U14" s="132"/>
      <c r="V14" s="1"/>
      <c r="W14" s="1"/>
      <c r="X14" s="1"/>
      <c r="Y14" s="1"/>
      <c r="Z14" s="1"/>
      <c r="AA14" s="1"/>
    </row>
    <row r="15" ht="30.0" customHeight="1">
      <c r="A15" s="107"/>
      <c r="B15" s="119" t="s">
        <v>64</v>
      </c>
      <c r="C15" s="133" t="str">
        <f>'DATOS CRUDOS PLANTILLA'!K24</f>
        <v/>
      </c>
      <c r="D15" s="121" t="str">
        <f>'DATOS CRUDOS PLANTILLA'!K22</f>
        <v/>
      </c>
      <c r="E15" s="122" t="str">
        <f t="shared" si="1"/>
        <v>⏳ PENDIENTE</v>
      </c>
      <c r="F15" s="107"/>
      <c r="H15" s="124" t="s">
        <v>20</v>
      </c>
      <c r="I15" s="143" t="str">
        <f>'DATOS CRUDOS PLANTILLA'!D30</f>
        <v/>
      </c>
      <c r="J15" s="137" t="s">
        <v>137</v>
      </c>
      <c r="K15" s="107"/>
      <c r="L15" s="1"/>
      <c r="M15" s="132"/>
      <c r="N15" s="132"/>
      <c r="O15" s="132"/>
      <c r="P15" s="132"/>
      <c r="Q15" s="132"/>
      <c r="R15" s="132"/>
      <c r="S15" s="132"/>
      <c r="T15" s="132"/>
      <c r="U15" s="132"/>
      <c r="V15" s="1"/>
      <c r="W15" s="1"/>
      <c r="X15" s="1"/>
      <c r="Y15" s="1"/>
      <c r="Z15" s="1"/>
      <c r="AA15" s="1"/>
    </row>
    <row r="16" ht="30.0" customHeight="1">
      <c r="A16" s="107"/>
      <c r="B16" s="127" t="s">
        <v>65</v>
      </c>
      <c r="C16" s="133" t="str">
        <f>'DATOS CRUDOS PLANTILLA'!L24</f>
        <v/>
      </c>
      <c r="D16" s="121" t="str">
        <f>'DATOS CRUDOS PLANTILLA'!L22</f>
        <v/>
      </c>
      <c r="E16" s="122" t="str">
        <f t="shared" si="1"/>
        <v>⏳ PENDIENTE</v>
      </c>
      <c r="F16" s="107"/>
      <c r="H16" s="128" t="s">
        <v>20</v>
      </c>
      <c r="I16" s="144" t="str">
        <f>'DATOS CRUDOS PLANTILLA'!D31</f>
        <v/>
      </c>
      <c r="J16" s="141" t="str">
        <f>IF(I16="","⏳ PENDIENTE", IF(I16&gt;2000,"✅ OK","🔴 Obj: 2000"))</f>
        <v>⏳ PENDIENTE</v>
      </c>
      <c r="K16" s="107"/>
      <c r="L16" s="1"/>
      <c r="M16" s="132"/>
      <c r="N16" s="132"/>
      <c r="O16" s="132"/>
      <c r="P16" s="132"/>
      <c r="Q16" s="132"/>
      <c r="R16" s="132"/>
      <c r="S16" s="132"/>
      <c r="T16" s="132"/>
      <c r="U16" s="132"/>
      <c r="V16" s="1"/>
      <c r="W16" s="1"/>
      <c r="X16" s="1"/>
      <c r="Y16" s="1"/>
      <c r="Z16" s="1"/>
      <c r="AA16" s="1"/>
    </row>
    <row r="17" ht="30.0" customHeight="1">
      <c r="A17" s="107"/>
      <c r="B17" s="119" t="s">
        <v>66</v>
      </c>
      <c r="C17" s="133" t="str">
        <f>'DATOS CRUDOS PLANTILLA'!M24</f>
        <v/>
      </c>
      <c r="D17" s="121" t="str">
        <f>'DATOS CRUDOS PLANTILLA'!M22</f>
        <v/>
      </c>
      <c r="E17" s="122" t="str">
        <f t="shared" si="1"/>
        <v>⏳ PENDIENTE</v>
      </c>
      <c r="F17" s="107"/>
      <c r="G17" s="123" t="s">
        <v>58</v>
      </c>
      <c r="H17" s="124" t="s">
        <v>20</v>
      </c>
      <c r="I17" s="140" t="str">
        <f>'DATOS CRUDOS PLANTILLA'!E27</f>
        <v/>
      </c>
      <c r="J17" s="141" t="str">
        <f>IF(I17="","⏳ PENDIENTE", IF(I17&gt;9,"✅ OK","🔴 Obj: &gt;9"))</f>
        <v>⏳ PENDIENTE</v>
      </c>
      <c r="K17" s="10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30.0" customHeight="1">
      <c r="A18" s="107"/>
      <c r="B18" s="127" t="s">
        <v>67</v>
      </c>
      <c r="C18" s="133" t="str">
        <f>'DATOS CRUDOS PLANTILLA'!N24</f>
        <v/>
      </c>
      <c r="D18" s="121" t="str">
        <f>'DATOS CRUDOS PLANTILLA'!N22</f>
        <v/>
      </c>
      <c r="E18" s="122" t="str">
        <f t="shared" si="1"/>
        <v>⏳ PENDIENTE</v>
      </c>
      <c r="F18" s="107"/>
      <c r="H18" s="128" t="s">
        <v>20</v>
      </c>
      <c r="I18" s="142" t="str">
        <f>'DATOS CRUDOS PLANTILLA'!E28</f>
        <v/>
      </c>
      <c r="J18" s="141" t="str">
        <f>IF(I18="","⏳ PENDIENTE", IF(I18&gt;95,"✅ OK","🔴 Obj: &gt;95"))</f>
        <v>⏳ PENDIENTE</v>
      </c>
      <c r="K18" s="10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30.0" customHeight="1">
      <c r="A19" s="107"/>
      <c r="B19" s="145" t="s">
        <v>138</v>
      </c>
      <c r="C19" s="19"/>
      <c r="D19" s="146"/>
      <c r="E19" s="147"/>
      <c r="F19" s="107"/>
      <c r="H19" s="124" t="s">
        <v>20</v>
      </c>
      <c r="I19" s="142" t="str">
        <f>'DATOS CRUDOS PLANTILLA'!E29</f>
        <v/>
      </c>
      <c r="J19" s="141" t="str">
        <f>IF(I19="","⏳ PENDIENTE", IF(I19&lt;2,"✅ OK","🔴 Obj: &lt;2"))</f>
        <v>⏳ PENDIENTE</v>
      </c>
      <c r="K19" s="10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30.0" customHeight="1">
      <c r="A20" s="107"/>
      <c r="B20" s="108"/>
      <c r="C20" s="108"/>
      <c r="D20" s="148"/>
      <c r="E20" s="108"/>
      <c r="F20" s="107"/>
      <c r="H20" s="128" t="s">
        <v>20</v>
      </c>
      <c r="I20" s="149" t="str">
        <f>'DATOS CRUDOS PLANTILLA'!E30</f>
        <v/>
      </c>
      <c r="J20" s="137" t="s">
        <v>139</v>
      </c>
      <c r="K20" s="10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30.0" customHeight="1">
      <c r="A21" s="107"/>
      <c r="B21" s="108"/>
      <c r="C21" s="108"/>
      <c r="D21" s="148"/>
      <c r="E21" s="108"/>
      <c r="F21" s="107"/>
      <c r="H21" s="124" t="s">
        <v>20</v>
      </c>
      <c r="I21" s="140" t="str">
        <f>'DATOS CRUDOS PLANTILLA'!E31</f>
        <v/>
      </c>
      <c r="J21" s="141" t="str">
        <f>IF(I21="","⏳ PENDIENTE", IF(I21&gt;2000,"✅ OK","🔴 Obj: 2000"))</f>
        <v>⏳ PENDIENTE</v>
      </c>
      <c r="K21" s="10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30.0" customHeight="1">
      <c r="A22" s="107"/>
      <c r="B22" s="108"/>
      <c r="C22" s="108"/>
      <c r="D22" s="148"/>
      <c r="E22" s="108"/>
      <c r="F22" s="107"/>
      <c r="G22" s="139" t="s">
        <v>59</v>
      </c>
      <c r="H22" s="128" t="s">
        <v>20</v>
      </c>
      <c r="I22" s="140" t="str">
        <f>'DATOS CRUDOS PLANTILLA'!F27</f>
        <v/>
      </c>
      <c r="J22" s="141" t="str">
        <f>IF(I22="","⏳ PENDIENTE", IF(I22&gt;9,"✅ OK","🔴 Obj: &gt;9"))</f>
        <v>⏳ PENDIENTE</v>
      </c>
      <c r="K22" s="10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30.0" customHeight="1">
      <c r="A23" s="107"/>
      <c r="B23" s="108"/>
      <c r="C23" s="108"/>
      <c r="D23" s="148"/>
      <c r="E23" s="108"/>
      <c r="F23" s="107"/>
      <c r="H23" s="124" t="s">
        <v>20</v>
      </c>
      <c r="I23" s="142" t="str">
        <f>'DATOS CRUDOS PLANTILLA'!F28</f>
        <v/>
      </c>
      <c r="J23" s="141" t="str">
        <f>IF(I23="","⏳ PENDIENTE", IF(I23&gt;95,"✅ OK","🔴 Obj: &gt;95"))</f>
        <v>⏳ PENDIENTE</v>
      </c>
      <c r="K23" s="10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30.0" customHeight="1">
      <c r="A24" s="107"/>
      <c r="B24" s="108"/>
      <c r="C24" s="108"/>
      <c r="D24" s="148"/>
      <c r="E24" s="108"/>
      <c r="F24" s="107"/>
      <c r="H24" s="128" t="s">
        <v>20</v>
      </c>
      <c r="I24" s="142" t="str">
        <f>'DATOS CRUDOS PLANTILLA'!F29</f>
        <v/>
      </c>
      <c r="J24" s="141" t="str">
        <f>IF(I24="","⏳ PENDIENTE", IF(I24&lt;2,"✅ OK","🔴 Obj: &lt;2"))</f>
        <v>⏳ PENDIENTE</v>
      </c>
      <c r="K24" s="10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30.0" customHeight="1">
      <c r="A25" s="107"/>
      <c r="B25" s="108"/>
      <c r="C25" s="108"/>
      <c r="D25" s="148"/>
      <c r="E25" s="108"/>
      <c r="F25" s="107"/>
      <c r="H25" s="124" t="s">
        <v>20</v>
      </c>
      <c r="I25" s="149" t="str">
        <f>'DATOS CRUDOS PLANTILLA'!F30</f>
        <v/>
      </c>
      <c r="J25" s="137" t="s">
        <v>139</v>
      </c>
      <c r="K25" s="10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30.0" customHeight="1">
      <c r="A26" s="107"/>
      <c r="B26" s="108"/>
      <c r="C26" s="108"/>
      <c r="D26" s="148"/>
      <c r="E26" s="108"/>
      <c r="F26" s="107"/>
      <c r="H26" s="128" t="s">
        <v>20</v>
      </c>
      <c r="I26" s="140" t="str">
        <f>'DATOS CRUDOS PLANTILLA'!F31</f>
        <v/>
      </c>
      <c r="J26" s="141" t="str">
        <f>IF(I26="","⏳ PENDIENTE", IF(I26&gt;2000,"✅ OK","🔴 Obj: 2000"))</f>
        <v>⏳ PENDIENTE</v>
      </c>
      <c r="K26" s="10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30.0" customHeight="1">
      <c r="A27" s="107"/>
      <c r="B27" s="108"/>
      <c r="C27" s="108"/>
      <c r="D27" s="148"/>
      <c r="E27" s="108"/>
      <c r="F27" s="107"/>
      <c r="G27" s="123" t="s">
        <v>60</v>
      </c>
      <c r="H27" s="124" t="s">
        <v>20</v>
      </c>
      <c r="I27" s="140" t="str">
        <f>'DATOS CRUDOS PLANTILLA'!G27</f>
        <v/>
      </c>
      <c r="J27" s="141" t="str">
        <f>IF(I27="","⏳ PENDIENTE", IF(I27&gt;9,"✅ OK","🔴 Obj: &gt;9"))</f>
        <v>⏳ PENDIENTE</v>
      </c>
      <c r="K27" s="10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30.0" customHeight="1">
      <c r="A28" s="107"/>
      <c r="B28" s="108"/>
      <c r="C28" s="108"/>
      <c r="D28" s="148"/>
      <c r="E28" s="108"/>
      <c r="F28" s="107"/>
      <c r="H28" s="128" t="s">
        <v>20</v>
      </c>
      <c r="I28" s="142" t="str">
        <f>'DATOS CRUDOS PLANTILLA'!G28</f>
        <v/>
      </c>
      <c r="J28" s="141" t="str">
        <f>IF(I28="","⏳ PENDIENTE", IF(I28&gt;95,"✅ OK","🔴 Obj: &gt;95"))</f>
        <v>⏳ PENDIENTE</v>
      </c>
      <c r="K28" s="10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30.0" customHeight="1">
      <c r="A29" s="107"/>
      <c r="B29" s="108"/>
      <c r="C29" s="108"/>
      <c r="D29" s="148"/>
      <c r="E29" s="108"/>
      <c r="F29" s="107"/>
      <c r="H29" s="124" t="s">
        <v>20</v>
      </c>
      <c r="I29" s="142" t="str">
        <f>'DATOS CRUDOS PLANTILLA'!G29</f>
        <v/>
      </c>
      <c r="J29" s="141" t="str">
        <f>IF(I29="","⏳ PENDIENTE", IF(I29&lt;2,"✅ OK","🔴 Obj: &lt;2"))</f>
        <v>⏳ PENDIENTE</v>
      </c>
      <c r="K29" s="10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30.0" customHeight="1">
      <c r="A30" s="107"/>
      <c r="B30" s="108"/>
      <c r="C30" s="108"/>
      <c r="D30" s="148"/>
      <c r="E30" s="108"/>
      <c r="F30" s="107"/>
      <c r="H30" s="128" t="s">
        <v>20</v>
      </c>
      <c r="I30" s="149" t="str">
        <f>'DATOS CRUDOS PLANTILLA'!G30</f>
        <v/>
      </c>
      <c r="J30" s="137" t="s">
        <v>140</v>
      </c>
      <c r="K30" s="10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30.0" customHeight="1">
      <c r="A31" s="107"/>
      <c r="B31" s="108"/>
      <c r="C31" s="108"/>
      <c r="D31" s="148"/>
      <c r="E31" s="108"/>
      <c r="F31" s="107"/>
      <c r="H31" s="124" t="s">
        <v>20</v>
      </c>
      <c r="I31" s="140" t="str">
        <f>'DATOS CRUDOS PLANTILLA'!G31</f>
        <v/>
      </c>
      <c r="J31" s="141" t="str">
        <f>IF(I31="","⏳ PENDIENTE", IF(I31&gt;2000,"✅ OK","🔴 Obj: 2000"))</f>
        <v>⏳ PENDIENTE</v>
      </c>
      <c r="K31" s="10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30.0" customHeight="1">
      <c r="A32" s="107"/>
      <c r="B32" s="108"/>
      <c r="C32" s="108"/>
      <c r="D32" s="148"/>
      <c r="E32" s="108"/>
      <c r="F32" s="107"/>
      <c r="G32" s="139" t="s">
        <v>61</v>
      </c>
      <c r="H32" s="128" t="s">
        <v>20</v>
      </c>
      <c r="I32" s="140" t="str">
        <f>'DATOS CRUDOS PLANTILLA'!H27</f>
        <v/>
      </c>
      <c r="J32" s="141" t="str">
        <f>IF(I32="","⏳ PENDIENTE", IF(I32&gt;9,"✅ OK","🔴 Obj: &gt;9"))</f>
        <v>⏳ PENDIENTE</v>
      </c>
      <c r="K32" s="10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30.0" customHeight="1">
      <c r="A33" s="107"/>
      <c r="B33" s="108"/>
      <c r="C33" s="108"/>
      <c r="D33" s="148"/>
      <c r="E33" s="108"/>
      <c r="F33" s="107"/>
      <c r="H33" s="124" t="s">
        <v>20</v>
      </c>
      <c r="I33" s="142" t="str">
        <f>'DATOS CRUDOS PLANTILLA'!H28</f>
        <v/>
      </c>
      <c r="J33" s="141" t="str">
        <f>IF(I33="","⏳ PENDIENTE", IF(I33&gt;95,"✅ OK","🔴 Obj: &gt;95"))</f>
        <v>⏳ PENDIENTE</v>
      </c>
      <c r="K33" s="10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30.0" customHeight="1">
      <c r="A34" s="107"/>
      <c r="B34" s="108"/>
      <c r="C34" s="108"/>
      <c r="D34" s="148"/>
      <c r="E34" s="108"/>
      <c r="F34" s="107"/>
      <c r="H34" s="128" t="s">
        <v>20</v>
      </c>
      <c r="I34" s="142" t="str">
        <f>'DATOS CRUDOS PLANTILLA'!H29</f>
        <v/>
      </c>
      <c r="J34" s="141" t="str">
        <f>IF(I34="","⏳ PENDIENTE", IF(I34&lt;2,"✅ OK","🔴 Obj: &lt;2"))</f>
        <v>⏳ PENDIENTE</v>
      </c>
      <c r="K34" s="10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30.0" customHeight="1">
      <c r="A35" s="107"/>
      <c r="B35" s="108"/>
      <c r="C35" s="108"/>
      <c r="D35" s="148"/>
      <c r="E35" s="108"/>
      <c r="F35" s="107"/>
      <c r="H35" s="124" t="s">
        <v>20</v>
      </c>
      <c r="I35" s="149" t="str">
        <f>'DATOS CRUDOS PLANTILLA'!H30</f>
        <v/>
      </c>
      <c r="J35" s="137" t="s">
        <v>139</v>
      </c>
      <c r="K35" s="10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30.0" customHeight="1">
      <c r="A36" s="107"/>
      <c r="B36" s="108"/>
      <c r="C36" s="108"/>
      <c r="D36" s="148"/>
      <c r="E36" s="108"/>
      <c r="F36" s="107"/>
      <c r="H36" s="128" t="s">
        <v>20</v>
      </c>
      <c r="I36" s="140" t="str">
        <f>'DATOS CRUDOS PLANTILLA'!H31</f>
        <v/>
      </c>
      <c r="J36" s="141" t="str">
        <f>IF(I36="","⏳ PENDIENTE", IF(I36&gt;2000,"✅ OK","🔴 Obj: 2000"))</f>
        <v>⏳ PENDIENTE</v>
      </c>
      <c r="K36" s="10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30.0" customHeight="1">
      <c r="A37" s="107"/>
      <c r="B37" s="108"/>
      <c r="C37" s="108"/>
      <c r="D37" s="148"/>
      <c r="E37" s="108"/>
      <c r="F37" s="107"/>
      <c r="G37" s="123" t="s">
        <v>62</v>
      </c>
      <c r="H37" s="124" t="s">
        <v>20</v>
      </c>
      <c r="I37" s="140" t="str">
        <f>'DATOS CRUDOS PLANTILLA'!I27</f>
        <v/>
      </c>
      <c r="J37" s="141" t="str">
        <f>IF(I37="","⏳ PENDIENTE", IF(I37&gt;9,"✅ OK","🔴 Obj: &gt;9"))</f>
        <v>⏳ PENDIENTE</v>
      </c>
      <c r="K37" s="10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30.0" customHeight="1">
      <c r="A38" s="107"/>
      <c r="B38" s="108"/>
      <c r="C38" s="108"/>
      <c r="D38" s="148"/>
      <c r="E38" s="108"/>
      <c r="F38" s="107"/>
      <c r="H38" s="128" t="s">
        <v>20</v>
      </c>
      <c r="I38" s="142" t="str">
        <f>'DATOS CRUDOS PLANTILLA'!I28</f>
        <v/>
      </c>
      <c r="J38" s="141" t="str">
        <f>IF(I38="","⏳ PENDIENTE", IF(I38&gt;95,"✅ OK","🔴 Obj: &gt;95"))</f>
        <v>⏳ PENDIENTE</v>
      </c>
      <c r="K38" s="10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30.0" customHeight="1">
      <c r="A39" s="107"/>
      <c r="B39" s="108"/>
      <c r="C39" s="108"/>
      <c r="D39" s="148"/>
      <c r="E39" s="108"/>
      <c r="F39" s="107"/>
      <c r="H39" s="124" t="s">
        <v>20</v>
      </c>
      <c r="I39" s="142" t="str">
        <f>'DATOS CRUDOS PLANTILLA'!I29</f>
        <v/>
      </c>
      <c r="J39" s="141" t="str">
        <f>IF(I39="","⏳ PENDIENTE", IF(I39&lt;2,"✅ OK","🔴 Obj: &lt;2"))</f>
        <v>⏳ PENDIENTE</v>
      </c>
      <c r="K39" s="10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30.0" customHeight="1">
      <c r="A40" s="107"/>
      <c r="B40" s="108"/>
      <c r="C40" s="108"/>
      <c r="D40" s="148"/>
      <c r="E40" s="108"/>
      <c r="F40" s="107"/>
      <c r="H40" s="128" t="s">
        <v>20</v>
      </c>
      <c r="I40" s="149" t="str">
        <f>'DATOS CRUDOS PLANTILLA'!I30</f>
        <v/>
      </c>
      <c r="J40" s="137" t="s">
        <v>139</v>
      </c>
      <c r="K40" s="10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30.0" customHeight="1">
      <c r="A41" s="107"/>
      <c r="B41" s="108"/>
      <c r="C41" s="108"/>
      <c r="D41" s="148"/>
      <c r="E41" s="108"/>
      <c r="F41" s="107"/>
      <c r="H41" s="124" t="s">
        <v>20</v>
      </c>
      <c r="I41" s="140" t="str">
        <f>'DATOS CRUDOS PLANTILLA'!I31</f>
        <v/>
      </c>
      <c r="J41" s="141" t="str">
        <f>IF(I41="","⏳ PENDIENTE", IF(I41&gt;2000,"✅ OK","🔴 Obj: 2000"))</f>
        <v>⏳ PENDIENTE</v>
      </c>
      <c r="K41" s="10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30.0" customHeight="1">
      <c r="A42" s="107"/>
      <c r="B42" s="108"/>
      <c r="C42" s="108"/>
      <c r="D42" s="148"/>
      <c r="E42" s="108"/>
      <c r="F42" s="107"/>
      <c r="G42" s="139" t="s">
        <v>63</v>
      </c>
      <c r="H42" s="128" t="s">
        <v>20</v>
      </c>
      <c r="I42" s="140" t="str">
        <f>'DATOS CRUDOS PLANTILLA'!J27</f>
        <v/>
      </c>
      <c r="J42" s="141" t="str">
        <f>IF(I42="","⏳ PENDIENTE", IF(I42&gt;9,"✅ OK","🔴 Obj: &gt;9"))</f>
        <v>⏳ PENDIENTE</v>
      </c>
      <c r="K42" s="10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30.0" customHeight="1">
      <c r="A43" s="107"/>
      <c r="B43" s="108"/>
      <c r="C43" s="108"/>
      <c r="D43" s="148"/>
      <c r="E43" s="108"/>
      <c r="F43" s="107"/>
      <c r="H43" s="124" t="s">
        <v>20</v>
      </c>
      <c r="I43" s="142" t="str">
        <f>'DATOS CRUDOS PLANTILLA'!J28</f>
        <v/>
      </c>
      <c r="J43" s="141" t="str">
        <f>IF(I43="","⏳ PENDIENTE", IF(I43&gt;95,"✅ OK","🔴 Obj: &gt;95"))</f>
        <v>⏳ PENDIENTE</v>
      </c>
      <c r="K43" s="10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30.0" customHeight="1">
      <c r="A44" s="107"/>
      <c r="B44" s="108"/>
      <c r="C44" s="108"/>
      <c r="D44" s="148"/>
      <c r="E44" s="108"/>
      <c r="F44" s="107"/>
      <c r="H44" s="128" t="s">
        <v>20</v>
      </c>
      <c r="I44" s="142" t="str">
        <f>'DATOS CRUDOS PLANTILLA'!J29</f>
        <v/>
      </c>
      <c r="J44" s="141" t="str">
        <f>IF(I44="","⏳ PENDIENTE", IF(I44&lt;2,"✅ OK","🔴 Obj: &lt;2"))</f>
        <v>⏳ PENDIENTE</v>
      </c>
      <c r="K44" s="10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30.0" customHeight="1">
      <c r="A45" s="107"/>
      <c r="B45" s="108"/>
      <c r="C45" s="108"/>
      <c r="D45" s="148"/>
      <c r="E45" s="108"/>
      <c r="F45" s="107"/>
      <c r="H45" s="124" t="s">
        <v>20</v>
      </c>
      <c r="I45" s="149" t="str">
        <f>'DATOS CRUDOS PLANTILLA'!J30</f>
        <v/>
      </c>
      <c r="J45" s="137" t="s">
        <v>139</v>
      </c>
      <c r="K45" s="10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30.0" customHeight="1">
      <c r="A46" s="107"/>
      <c r="B46" s="108"/>
      <c r="C46" s="108"/>
      <c r="D46" s="148"/>
      <c r="E46" s="108"/>
      <c r="F46" s="107"/>
      <c r="H46" s="128" t="s">
        <v>20</v>
      </c>
      <c r="I46" s="140" t="str">
        <f>'DATOS CRUDOS PLANTILLA'!J31</f>
        <v/>
      </c>
      <c r="J46" s="141" t="str">
        <f>IF(I46="","⏳ PENDIENTE", IF(I46&gt;2000,"✅ OK","🔴 Obj: 2000"))</f>
        <v>⏳ PENDIENTE</v>
      </c>
      <c r="K46" s="10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30.0" customHeight="1">
      <c r="A47" s="107"/>
      <c r="B47" s="108"/>
      <c r="C47" s="108"/>
      <c r="D47" s="148"/>
      <c r="E47" s="108"/>
      <c r="F47" s="107"/>
      <c r="G47" s="123" t="s">
        <v>64</v>
      </c>
      <c r="H47" s="124" t="s">
        <v>20</v>
      </c>
      <c r="I47" s="140" t="str">
        <f>'DATOS CRUDOS PLANTILLA'!K27</f>
        <v/>
      </c>
      <c r="J47" s="141" t="str">
        <f>IF(I47="","⏳ PENDIENTE", IF(I47&gt;9,"✅ OK","🔴 Obj: &gt;9"))</f>
        <v>⏳ PENDIENTE</v>
      </c>
      <c r="K47" s="10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30.0" customHeight="1">
      <c r="A48" s="107"/>
      <c r="B48" s="108"/>
      <c r="C48" s="108"/>
      <c r="D48" s="148"/>
      <c r="E48" s="108"/>
      <c r="F48" s="107"/>
      <c r="H48" s="128" t="s">
        <v>20</v>
      </c>
      <c r="I48" s="142" t="str">
        <f>'DATOS CRUDOS PLANTILLA'!K28</f>
        <v/>
      </c>
      <c r="J48" s="141" t="str">
        <f>IF(I48="","⏳ PENDIENTE", IF(I48&gt;95,"✅ OK","🔴 Obj: &gt;95"))</f>
        <v>⏳ PENDIENTE</v>
      </c>
      <c r="K48" s="10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30.0" customHeight="1">
      <c r="A49" s="107"/>
      <c r="B49" s="108"/>
      <c r="C49" s="108"/>
      <c r="D49" s="148"/>
      <c r="E49" s="108"/>
      <c r="F49" s="107"/>
      <c r="H49" s="124" t="s">
        <v>20</v>
      </c>
      <c r="I49" s="142" t="str">
        <f>'DATOS CRUDOS PLANTILLA'!K29</f>
        <v/>
      </c>
      <c r="J49" s="141" t="str">
        <f>IF(I49="","⏳ PENDIENTE", IF(I49&lt;2,"✅ OK","🔴 Obj: &lt;2"))</f>
        <v>⏳ PENDIENTE</v>
      </c>
      <c r="K49" s="10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30.0" customHeight="1">
      <c r="A50" s="107"/>
      <c r="B50" s="108"/>
      <c r="C50" s="108"/>
      <c r="D50" s="148"/>
      <c r="E50" s="108"/>
      <c r="F50" s="107"/>
      <c r="H50" s="128" t="s">
        <v>20</v>
      </c>
      <c r="I50" s="149" t="str">
        <f>'DATOS CRUDOS PLANTILLA'!K30</f>
        <v/>
      </c>
      <c r="J50" s="137" t="s">
        <v>139</v>
      </c>
      <c r="K50" s="10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30.0" customHeight="1">
      <c r="A51" s="107"/>
      <c r="B51" s="108"/>
      <c r="C51" s="108"/>
      <c r="D51" s="148"/>
      <c r="E51" s="108"/>
      <c r="F51" s="107"/>
      <c r="H51" s="124" t="s">
        <v>20</v>
      </c>
      <c r="I51" s="140" t="str">
        <f>'DATOS CRUDOS PLANTILLA'!K31</f>
        <v/>
      </c>
      <c r="J51" s="141" t="str">
        <f>IF(I51="","⏳ PENDIENTE", IF(I51&gt;2000,"✅ OK","🔴 Obj: 2000"))</f>
        <v>⏳ PENDIENTE</v>
      </c>
      <c r="K51" s="10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30.0" customHeight="1">
      <c r="A52" s="107"/>
      <c r="B52" s="108"/>
      <c r="C52" s="108"/>
      <c r="D52" s="148"/>
      <c r="E52" s="108"/>
      <c r="F52" s="107"/>
      <c r="G52" s="139" t="s">
        <v>65</v>
      </c>
      <c r="H52" s="128" t="s">
        <v>20</v>
      </c>
      <c r="I52" s="140" t="str">
        <f>'DATOS CRUDOS PLANTILLA'!L27</f>
        <v/>
      </c>
      <c r="J52" s="141" t="str">
        <f>IF(I52="","⏳ PENDIENTE", IF(I52&gt;9,"✅ OK","🔴 Obj: &gt;9"))</f>
        <v>⏳ PENDIENTE</v>
      </c>
      <c r="K52" s="10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30.0" customHeight="1">
      <c r="A53" s="107"/>
      <c r="B53" s="108"/>
      <c r="C53" s="108"/>
      <c r="D53" s="148"/>
      <c r="E53" s="108"/>
      <c r="F53" s="107"/>
      <c r="H53" s="124" t="s">
        <v>20</v>
      </c>
      <c r="I53" s="142" t="str">
        <f>'DATOS CRUDOS PLANTILLA'!L28</f>
        <v/>
      </c>
      <c r="J53" s="141" t="str">
        <f>IF(I53="","⏳ PENDIENTE", IF(I53&gt;95,"✅ OK","🔴 Obj: &gt;95"))</f>
        <v>⏳ PENDIENTE</v>
      </c>
      <c r="K53" s="10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30.0" customHeight="1">
      <c r="A54" s="107"/>
      <c r="B54" s="108"/>
      <c r="C54" s="108"/>
      <c r="D54" s="148"/>
      <c r="E54" s="108"/>
      <c r="F54" s="107"/>
      <c r="H54" s="128" t="s">
        <v>20</v>
      </c>
      <c r="I54" s="142" t="str">
        <f>'DATOS CRUDOS PLANTILLA'!L29</f>
        <v/>
      </c>
      <c r="J54" s="141" t="str">
        <f>IF(I54="","⏳ PENDIENTE", IF(I54&lt;2,"✅ OK","🔴 Obj: &lt;2"))</f>
        <v>⏳ PENDIENTE</v>
      </c>
      <c r="K54" s="10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30.0" customHeight="1">
      <c r="A55" s="107"/>
      <c r="B55" s="108"/>
      <c r="C55" s="108"/>
      <c r="D55" s="148"/>
      <c r="E55" s="108"/>
      <c r="F55" s="107"/>
      <c r="H55" s="124" t="s">
        <v>20</v>
      </c>
      <c r="I55" s="149" t="str">
        <f>'DATOS CRUDOS PLANTILLA'!L30</f>
        <v/>
      </c>
      <c r="J55" s="137" t="s">
        <v>139</v>
      </c>
      <c r="K55" s="10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30.0" customHeight="1">
      <c r="A56" s="107"/>
      <c r="B56" s="108"/>
      <c r="C56" s="108"/>
      <c r="D56" s="148"/>
      <c r="E56" s="108"/>
      <c r="F56" s="107"/>
      <c r="H56" s="128" t="s">
        <v>20</v>
      </c>
      <c r="I56" s="140" t="str">
        <f>'DATOS CRUDOS PLANTILLA'!L31</f>
        <v/>
      </c>
      <c r="J56" s="141" t="str">
        <f>IF(I56="","⏳ PENDIENTE", IF(I56&gt;2000,"✅ OK","🔴 Obj: 2000"))</f>
        <v>⏳ PENDIENTE</v>
      </c>
      <c r="K56" s="10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30.0" customHeight="1">
      <c r="A57" s="107"/>
      <c r="B57" s="108"/>
      <c r="C57" s="108"/>
      <c r="D57" s="148"/>
      <c r="E57" s="108"/>
      <c r="F57" s="107"/>
      <c r="G57" s="123" t="s">
        <v>141</v>
      </c>
      <c r="H57" s="124" t="s">
        <v>20</v>
      </c>
      <c r="I57" s="140" t="str">
        <f>'DATOS CRUDOS PLANTILLA'!M27</f>
        <v/>
      </c>
      <c r="J57" s="141" t="str">
        <f>IF(I57="","⏳ PENDIENTE", IF(I57&gt;9,"✅ OK","🔴 Obj: &gt;9"))</f>
        <v>⏳ PENDIENTE</v>
      </c>
      <c r="K57" s="10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30.0" customHeight="1">
      <c r="A58" s="107"/>
      <c r="B58" s="108"/>
      <c r="C58" s="108"/>
      <c r="D58" s="148"/>
      <c r="E58" s="108"/>
      <c r="F58" s="107"/>
      <c r="H58" s="128" t="s">
        <v>20</v>
      </c>
      <c r="I58" s="142" t="str">
        <f>'DATOS CRUDOS PLANTILLA'!M28</f>
        <v/>
      </c>
      <c r="J58" s="141" t="str">
        <f>IF(I58="","⏳ PENDIENTE", IF(I58&gt;95,"✅ OK","🔴 Obj: &gt;95"))</f>
        <v>⏳ PENDIENTE</v>
      </c>
      <c r="K58" s="10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30.0" customHeight="1">
      <c r="A59" s="107"/>
      <c r="B59" s="108"/>
      <c r="C59" s="108"/>
      <c r="D59" s="148"/>
      <c r="E59" s="108"/>
      <c r="F59" s="107"/>
      <c r="H59" s="124" t="s">
        <v>20</v>
      </c>
      <c r="I59" s="142" t="str">
        <f>'DATOS CRUDOS PLANTILLA'!M29</f>
        <v/>
      </c>
      <c r="J59" s="141" t="str">
        <f>IF(I59="","⏳ PENDIENTE", IF(I59&lt;2,"✅ OK","🔴 Obj: &lt;2"))</f>
        <v>⏳ PENDIENTE</v>
      </c>
      <c r="K59" s="10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30.0" customHeight="1">
      <c r="A60" s="107"/>
      <c r="B60" s="108"/>
      <c r="C60" s="108"/>
      <c r="D60" s="148"/>
      <c r="E60" s="108"/>
      <c r="F60" s="107"/>
      <c r="H60" s="128" t="s">
        <v>20</v>
      </c>
      <c r="I60" s="149" t="str">
        <f>'DATOS CRUDOS PLANTILLA'!M30</f>
        <v/>
      </c>
      <c r="J60" s="137" t="s">
        <v>139</v>
      </c>
      <c r="K60" s="10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30.0" customHeight="1">
      <c r="A61" s="107"/>
      <c r="B61" s="108"/>
      <c r="C61" s="108"/>
      <c r="D61" s="148"/>
      <c r="E61" s="108"/>
      <c r="F61" s="107"/>
      <c r="H61" s="124" t="s">
        <v>20</v>
      </c>
      <c r="I61" s="140" t="str">
        <f>'DATOS CRUDOS PLANTILLA'!M31</f>
        <v/>
      </c>
      <c r="J61" s="141" t="str">
        <f>IF(I61="","⏳ PENDIENTE", IF(I61&gt;2000,"✅ OK","🔴 Obj: 2000"))</f>
        <v>⏳ PENDIENTE</v>
      </c>
      <c r="K61" s="10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30.0" customHeight="1">
      <c r="A62" s="107"/>
      <c r="B62" s="108"/>
      <c r="C62" s="108"/>
      <c r="D62" s="148"/>
      <c r="E62" s="108"/>
      <c r="F62" s="107"/>
      <c r="G62" s="139" t="s">
        <v>67</v>
      </c>
      <c r="H62" s="128" t="s">
        <v>20</v>
      </c>
      <c r="I62" s="140" t="str">
        <f>'DATOS CRUDOS PLANTILLA'!N27</f>
        <v/>
      </c>
      <c r="J62" s="141" t="str">
        <f>IF(I62="","⏳ PENDIENTE", IF(I62&gt;9,"✅ OK","🔴 Obj: &gt;9"))</f>
        <v>⏳ PENDIENTE</v>
      </c>
      <c r="K62" s="10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30.0" customHeight="1">
      <c r="A63" s="107"/>
      <c r="B63" s="108"/>
      <c r="C63" s="108"/>
      <c r="D63" s="148"/>
      <c r="E63" s="108"/>
      <c r="F63" s="107"/>
      <c r="H63" s="124" t="s">
        <v>20</v>
      </c>
      <c r="I63" s="142" t="str">
        <f>'DATOS CRUDOS PLANTILLA'!N28</f>
        <v/>
      </c>
      <c r="J63" s="141" t="str">
        <f>IF(I63="","⏳ PENDIENTE", IF(I63&gt;95,"✅ OK","🔴 Obj: &gt;95"))</f>
        <v>⏳ PENDIENTE</v>
      </c>
      <c r="K63" s="10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30.0" customHeight="1">
      <c r="A64" s="107"/>
      <c r="B64" s="108"/>
      <c r="C64" s="108"/>
      <c r="D64" s="148"/>
      <c r="E64" s="108"/>
      <c r="F64" s="107"/>
      <c r="H64" s="128" t="s">
        <v>20</v>
      </c>
      <c r="I64" s="142" t="str">
        <f>'DATOS CRUDOS PLANTILLA'!N29</f>
        <v/>
      </c>
      <c r="J64" s="141" t="str">
        <f>IF(I64="","⏳ PENDIENTE", IF(I64&lt;2,"✅ OK","🔴 Obj: &lt;2"))</f>
        <v>⏳ PENDIENTE</v>
      </c>
      <c r="K64" s="10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30.0" customHeight="1">
      <c r="A65" s="107"/>
      <c r="B65" s="108"/>
      <c r="C65" s="108"/>
      <c r="D65" s="148"/>
      <c r="E65" s="108"/>
      <c r="F65" s="107"/>
      <c r="H65" s="124" t="s">
        <v>20</v>
      </c>
      <c r="I65" s="149" t="str">
        <f>'DATOS CRUDOS PLANTILLA'!N30</f>
        <v/>
      </c>
      <c r="J65" s="137" t="s">
        <v>139</v>
      </c>
      <c r="K65" s="10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30.0" customHeight="1">
      <c r="A66" s="107"/>
      <c r="B66" s="108"/>
      <c r="C66" s="108"/>
      <c r="D66" s="148"/>
      <c r="E66" s="108"/>
      <c r="F66" s="107"/>
      <c r="H66" s="128" t="s">
        <v>20</v>
      </c>
      <c r="I66" s="140" t="str">
        <f>'DATOS CRUDOS PLANTILLA'!N31</f>
        <v/>
      </c>
      <c r="J66" s="141" t="str">
        <f>IF(I66="","⏳ PENDIENTE", IF(I66&gt;2000,"✅ OK","🔴 Obj: 2000"))</f>
        <v>⏳ PENDIENTE</v>
      </c>
      <c r="K66" s="10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27.75" customHeight="1">
      <c r="A67" s="107"/>
      <c r="B67" s="108"/>
      <c r="C67" s="108"/>
      <c r="D67" s="108"/>
      <c r="E67" s="108"/>
      <c r="F67" s="107"/>
      <c r="G67" s="1"/>
      <c r="H67" s="1"/>
      <c r="I67" s="1"/>
      <c r="J67" s="1"/>
      <c r="K67" s="10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9.5" customHeight="1">
      <c r="A68" s="107"/>
      <c r="B68" s="108"/>
      <c r="C68" s="108"/>
      <c r="D68" s="108"/>
      <c r="E68" s="108"/>
      <c r="F68" s="107"/>
      <c r="G68" s="1"/>
      <c r="H68" s="1"/>
      <c r="I68" s="1"/>
      <c r="J68" s="1"/>
      <c r="K68" s="10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60.0" customHeight="1">
      <c r="A69" s="107"/>
      <c r="B69" s="108"/>
      <c r="C69" s="108"/>
      <c r="D69" s="108"/>
      <c r="E69" s="108"/>
      <c r="F69" s="107"/>
      <c r="G69" s="1"/>
      <c r="H69" s="1"/>
      <c r="I69" s="1"/>
      <c r="J69" s="1"/>
      <c r="K69" s="10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27.75" customHeight="1">
      <c r="A70" s="107"/>
      <c r="B70" s="108"/>
      <c r="C70" s="108"/>
      <c r="D70" s="108"/>
      <c r="E70" s="108"/>
      <c r="F70" s="107"/>
      <c r="G70" s="1"/>
      <c r="H70" s="1"/>
      <c r="I70" s="1"/>
      <c r="J70" s="1"/>
      <c r="K70" s="10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21.75" customHeight="1">
      <c r="A71" s="107"/>
      <c r="B71" s="107"/>
      <c r="C71" s="107"/>
      <c r="D71" s="107"/>
      <c r="E71" s="107"/>
      <c r="F71" s="107"/>
      <c r="G71" s="1"/>
      <c r="H71" s="1"/>
      <c r="I71" s="1"/>
      <c r="J71" s="1"/>
      <c r="K71" s="10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27.75" customHeight="1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27.75" customHeight="1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30.0" customHeight="1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37.5" customHeight="1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9.75" customHeight="1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21.75" customHeight="1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37.5" customHeight="1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37.5" customHeight="1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9.75" customHeight="1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21.75" customHeight="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37.5" customHeight="1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37.5" customHeight="1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37.5" customHeight="1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37.5" customHeight="1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9.75" customHeight="1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7.5" customHeight="1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8">
    <mergeCell ref="G37:G41"/>
    <mergeCell ref="G42:G46"/>
    <mergeCell ref="G47:G51"/>
    <mergeCell ref="G52:G56"/>
    <mergeCell ref="G57:G61"/>
    <mergeCell ref="G62:G66"/>
    <mergeCell ref="N9:P9"/>
    <mergeCell ref="B2:J2"/>
    <mergeCell ref="B4:E4"/>
    <mergeCell ref="G4:J4"/>
    <mergeCell ref="N4:O4"/>
    <mergeCell ref="G7:G11"/>
    <mergeCell ref="B19:C19"/>
    <mergeCell ref="G12:G16"/>
    <mergeCell ref="G17:G21"/>
    <mergeCell ref="G22:G26"/>
    <mergeCell ref="G27:G31"/>
    <mergeCell ref="G32:G36"/>
  </mergeCells>
  <conditionalFormatting sqref="C7:C18 C20:C70">
    <cfRule type="cellIs" dxfId="0" priority="1" operator="greaterThan">
      <formula>0</formula>
    </cfRule>
  </conditionalFormatting>
  <conditionalFormatting sqref="C7:C18 C20:C70">
    <cfRule type="cellIs" dxfId="1" priority="2" operator="lessThan">
      <formula>0</formula>
    </cfRule>
  </conditionalFormatting>
  <conditionalFormatting sqref="E7:E18 E20:E70">
    <cfRule type="containsText" dxfId="2" priority="3" operator="containsText" text="pendiente">
      <formula>NOT(ISERROR(SEARCH(("pendiente"),(E7))))</formula>
    </cfRule>
  </conditionalFormatting>
  <conditionalFormatting sqref="E7:E18 E20:E70">
    <cfRule type="containsText" dxfId="3" priority="4" operator="containsText" text="negativo">
      <formula>NOT(ISERROR(SEARCH(("negativo"),(E7))))</formula>
    </cfRule>
  </conditionalFormatting>
  <conditionalFormatting sqref="E7:E18 E20:E70">
    <cfRule type="containsText" dxfId="4" priority="5" operator="containsText" text="positivo">
      <formula>NOT(ISERROR(SEARCH(("positivo"),(E7))))</formula>
    </cfRule>
  </conditionalFormatting>
  <conditionalFormatting sqref="I7 I12 I17 I22 I27 I32 I37 I42 I47 I52 I57 I62">
    <cfRule type="cellIs" dxfId="5" priority="6" operator="greaterThanOrEqual">
      <formula>9</formula>
    </cfRule>
  </conditionalFormatting>
  <conditionalFormatting sqref="I7 I12 I17 I22 I27 I32 I37 I42 I47 I52 I57 I62">
    <cfRule type="cellIs" dxfId="6" priority="7" operator="lessThan">
      <formula>9</formula>
    </cfRule>
  </conditionalFormatting>
  <conditionalFormatting sqref="I7 I12 I17 I22 I27 I32 I37 I42 I47 I52 I57 I62">
    <cfRule type="containsBlanks" dxfId="7" priority="8">
      <formula>LEN(TRIM(I7))=0</formula>
    </cfRule>
  </conditionalFormatting>
  <conditionalFormatting sqref="I12 I17 I22 I27 I32 I37 I42 I47 I52 I57 I62">
    <cfRule type="cellIs" dxfId="8" priority="9" operator="lessThan">
      <formula>9</formula>
    </cfRule>
  </conditionalFormatting>
  <conditionalFormatting sqref="I12 I17 I22 I27 I32 I37 I42 I47 I52 I57 I62">
    <cfRule type="containsBlanks" dxfId="7" priority="10">
      <formula>LEN(TRIM(I12))=0</formula>
    </cfRule>
  </conditionalFormatting>
  <conditionalFormatting sqref="I8 I13 I18 I23 I28 I33 I38 I43 I48 I53 I58 I63">
    <cfRule type="cellIs" dxfId="9" priority="11" operator="greaterThanOrEqual">
      <formula>"95%"</formula>
    </cfRule>
  </conditionalFormatting>
  <conditionalFormatting sqref="I8 I13 I18 I23 I28 I33 I38 I43 I48 I53 I58 I63">
    <cfRule type="cellIs" dxfId="10" priority="12" operator="lessThan">
      <formula>"95%"</formula>
    </cfRule>
  </conditionalFormatting>
  <conditionalFormatting sqref="I8 I13 I18 I23 I28 I33 I38 I43 I48 I53 I58 I63">
    <cfRule type="containsBlanks" dxfId="7" priority="13">
      <formula>LEN(TRIM(I8))=0</formula>
    </cfRule>
  </conditionalFormatting>
  <conditionalFormatting sqref="I9 I14 I19 I24 I29 I34 I39 I44 I49 I54 I59 I64">
    <cfRule type="cellIs" dxfId="11" priority="14" operator="lessThanOrEqual">
      <formula>"2%"</formula>
    </cfRule>
  </conditionalFormatting>
  <conditionalFormatting sqref="I9 I14 I19 I24 I29 I34 I39 I44 I49 I54 I59 I64">
    <cfRule type="cellIs" dxfId="12" priority="15" operator="greaterThan">
      <formula>"2%"</formula>
    </cfRule>
  </conditionalFormatting>
  <conditionalFormatting sqref="I9 I14 I19 I24 I29 I34 I39 I44 I49 I54 I59 I64">
    <cfRule type="containsBlanks" dxfId="7" priority="16">
      <formula>LEN(TRIM(I9))=0</formula>
    </cfRule>
  </conditionalFormatting>
  <conditionalFormatting sqref="I11 I16 I21 I26 I31 I36 I41 I46 I51 I56 I61 I66">
    <cfRule type="cellIs" dxfId="5" priority="17" operator="greaterThanOrEqual">
      <formula>2000</formula>
    </cfRule>
  </conditionalFormatting>
  <conditionalFormatting sqref="I11 I16 I21 I26 I31 I36 I41 I46 I51 I56 I61 I66">
    <cfRule type="cellIs" dxfId="13" priority="18" operator="lessThan">
      <formula>2000</formula>
    </cfRule>
  </conditionalFormatting>
  <conditionalFormatting sqref="I11 I16 I21 I26 I31 I36 I41 I46 I51 I56 I61 I66">
    <cfRule type="containsBlanks" dxfId="7" priority="19">
      <formula>LEN(TRIM(I11))=0</formula>
    </cfRule>
  </conditionalFormatting>
  <conditionalFormatting sqref="J7:J66">
    <cfRule type="containsText" dxfId="2" priority="20" operator="containsText" text="pendiente">
      <formula>NOT(ISERROR(SEARCH(("pendiente"),(J7))))</formula>
    </cfRule>
  </conditionalFormatting>
  <conditionalFormatting sqref="J7:J66">
    <cfRule type="containsText" dxfId="5" priority="21" operator="containsText" text="ok">
      <formula>NOT(ISERROR(SEARCH(("ok"),(J7))))</formula>
    </cfRule>
  </conditionalFormatting>
  <conditionalFormatting sqref="J7:J66">
    <cfRule type="beginsWith" dxfId="10" priority="22" operator="beginsWith" text="🔴 Obj:">
      <formula>LEFT((J7),LEN("🔴 Obj:"))=("🔴 Obj:")</formula>
    </cfRule>
  </conditionalFormatting>
  <conditionalFormatting sqref="J7:J66">
    <cfRule type="containsText" dxfId="14" priority="23" operator="containsText" text="sin obj">
      <formula>NOT(ISERROR(SEARCH(("sin obj"),(J7))))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2.63"/>
    <col customWidth="1" min="2" max="5" width="17.38"/>
    <col customWidth="1" min="6" max="6" width="0.75"/>
    <col customWidth="1" min="7" max="10" width="17.38"/>
    <col customWidth="1" min="11" max="11" width="0.75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54.0" customHeight="1">
      <c r="A2" s="35"/>
      <c r="B2" s="150" t="s">
        <v>142</v>
      </c>
      <c r="C2" s="3"/>
      <c r="D2" s="3"/>
      <c r="E2" s="3"/>
      <c r="F2" s="3"/>
      <c r="G2" s="3"/>
      <c r="H2" s="3"/>
      <c r="I2" s="3"/>
      <c r="J2" s="3"/>
      <c r="K2" s="4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ht="26.25" customHeight="1">
      <c r="A4" s="35"/>
      <c r="B4" s="151" t="s">
        <v>143</v>
      </c>
      <c r="C4" s="3"/>
      <c r="D4" s="3"/>
      <c r="E4" s="4"/>
      <c r="F4" s="85"/>
      <c r="G4" s="151" t="s">
        <v>144</v>
      </c>
      <c r="H4" s="3"/>
      <c r="I4" s="3"/>
      <c r="J4" s="4"/>
      <c r="K4" s="85"/>
    </row>
    <row r="5" ht="26.25" customHeight="1">
      <c r="A5" s="35"/>
      <c r="B5" s="36" t="s">
        <v>14</v>
      </c>
      <c r="C5" s="152" t="s">
        <v>20</v>
      </c>
      <c r="D5" s="152" t="s">
        <v>20</v>
      </c>
      <c r="E5" s="152" t="s">
        <v>20</v>
      </c>
      <c r="F5" s="85"/>
      <c r="G5" s="36" t="s">
        <v>14</v>
      </c>
      <c r="H5" s="152" t="s">
        <v>20</v>
      </c>
      <c r="I5" s="152" t="s">
        <v>20</v>
      </c>
      <c r="J5" s="152" t="s">
        <v>20</v>
      </c>
      <c r="K5" s="85"/>
    </row>
    <row r="6" ht="26.25" customHeight="1">
      <c r="A6" s="1"/>
      <c r="B6" s="153" t="s">
        <v>21</v>
      </c>
      <c r="C6" s="59" t="str">
        <f>'DATOS CRUDOS PLANTILLA'!C7</f>
        <v/>
      </c>
      <c r="D6" s="154" t="str">
        <f>'DATOS CRUDOS PLANTILLA'!D7</f>
        <v/>
      </c>
      <c r="E6" s="155" t="str">
        <f>'DATOS CRUDOS PLANTILLA'!E7</f>
        <v/>
      </c>
      <c r="F6" s="156"/>
      <c r="G6" s="153" t="s">
        <v>21</v>
      </c>
      <c r="H6" s="59" t="str">
        <f>'DATOS CRUDOS PLANTILLA'!F7</f>
        <v/>
      </c>
      <c r="I6" s="154" t="str">
        <f>'DATOS CRUDOS PLANTILLA'!G7</f>
        <v/>
      </c>
      <c r="J6" s="155" t="str">
        <f>'DATOS CRUDOS PLANTILLA'!H7</f>
        <v/>
      </c>
      <c r="K6" s="156"/>
    </row>
    <row r="7" ht="26.25" customHeight="1">
      <c r="A7" s="1"/>
      <c r="B7" s="153" t="s">
        <v>22</v>
      </c>
      <c r="C7" s="59" t="str">
        <f>'DATOS CRUDOS PLANTILLA'!C8</f>
        <v/>
      </c>
      <c r="D7" s="154" t="str">
        <f>'DATOS CRUDOS PLANTILLA'!D8</f>
        <v/>
      </c>
      <c r="E7" s="155" t="str">
        <f>'DATOS CRUDOS PLANTILLA'!E8</f>
        <v/>
      </c>
      <c r="F7" s="156"/>
      <c r="G7" s="153" t="s">
        <v>22</v>
      </c>
      <c r="H7" s="59" t="str">
        <f>'DATOS CRUDOS PLANTILLA'!F8</f>
        <v/>
      </c>
      <c r="I7" s="154" t="str">
        <f>'DATOS CRUDOS PLANTILLA'!G8</f>
        <v/>
      </c>
      <c r="J7" s="155" t="str">
        <f>'DATOS CRUDOS PLANTILLA'!H8</f>
        <v/>
      </c>
      <c r="K7" s="156"/>
    </row>
    <row r="8" ht="26.25" customHeight="1">
      <c r="A8" s="1"/>
      <c r="B8" s="153" t="s">
        <v>23</v>
      </c>
      <c r="C8" s="59" t="str">
        <f>'DATOS CRUDOS PLANTILLA'!C9</f>
        <v/>
      </c>
      <c r="D8" s="154" t="str">
        <f>'DATOS CRUDOS PLANTILLA'!D9</f>
        <v/>
      </c>
      <c r="E8" s="155" t="str">
        <f>'DATOS CRUDOS PLANTILLA'!E9</f>
        <v/>
      </c>
      <c r="F8" s="156"/>
      <c r="G8" s="153" t="s">
        <v>23</v>
      </c>
      <c r="H8" s="59" t="str">
        <f>'DATOS CRUDOS PLANTILLA'!F9</f>
        <v/>
      </c>
      <c r="I8" s="154" t="str">
        <f>'DATOS CRUDOS PLANTILLA'!G9</f>
        <v/>
      </c>
      <c r="J8" s="155" t="str">
        <f>'DATOS CRUDOS PLANTILLA'!H9</f>
        <v/>
      </c>
      <c r="K8" s="156"/>
    </row>
    <row r="9" ht="26.25" customHeight="1">
      <c r="A9" s="1"/>
      <c r="B9" s="153" t="s">
        <v>24</v>
      </c>
      <c r="C9" s="59" t="str">
        <f>'DATOS CRUDOS PLANTILLA'!C10</f>
        <v/>
      </c>
      <c r="D9" s="154" t="str">
        <f>'DATOS CRUDOS PLANTILLA'!D10</f>
        <v/>
      </c>
      <c r="E9" s="155" t="str">
        <f>'DATOS CRUDOS PLANTILLA'!E10</f>
        <v/>
      </c>
      <c r="F9" s="156"/>
      <c r="G9" s="153" t="s">
        <v>24</v>
      </c>
      <c r="H9" s="59" t="str">
        <f>'DATOS CRUDOS PLANTILLA'!F10</f>
        <v/>
      </c>
      <c r="I9" s="154" t="str">
        <f>'DATOS CRUDOS PLANTILLA'!G10</f>
        <v/>
      </c>
      <c r="J9" s="155" t="str">
        <f>'DATOS CRUDOS PLANTILLA'!H10</f>
        <v/>
      </c>
      <c r="K9" s="156"/>
    </row>
    <row r="10" ht="26.25" customHeight="1">
      <c r="A10" s="1"/>
      <c r="B10" s="153" t="s">
        <v>25</v>
      </c>
      <c r="C10" s="59" t="str">
        <f>'DATOS CRUDOS PLANTILLA'!C11</f>
        <v/>
      </c>
      <c r="D10" s="154" t="str">
        <f>'DATOS CRUDOS PLANTILLA'!D11</f>
        <v/>
      </c>
      <c r="E10" s="155" t="str">
        <f>'DATOS CRUDOS PLANTILLA'!E11</f>
        <v/>
      </c>
      <c r="F10" s="156"/>
      <c r="G10" s="153" t="s">
        <v>25</v>
      </c>
      <c r="H10" s="59" t="str">
        <f>'DATOS CRUDOS PLANTILLA'!F11</f>
        <v/>
      </c>
      <c r="I10" s="154" t="str">
        <f>'DATOS CRUDOS PLANTILLA'!G11</f>
        <v/>
      </c>
      <c r="J10" s="155" t="str">
        <f>'DATOS CRUDOS PLANTILLA'!H11</f>
        <v/>
      </c>
      <c r="K10" s="156"/>
    </row>
    <row r="11" ht="26.25" customHeight="1">
      <c r="A11" s="1"/>
      <c r="B11" s="153" t="s">
        <v>26</v>
      </c>
      <c r="C11" s="59" t="str">
        <f>'DATOS CRUDOS PLANTILLA'!C12</f>
        <v/>
      </c>
      <c r="D11" s="154" t="str">
        <f>'DATOS CRUDOS PLANTILLA'!D12</f>
        <v/>
      </c>
      <c r="E11" s="155" t="str">
        <f>'DATOS CRUDOS PLANTILLA'!E12</f>
        <v/>
      </c>
      <c r="F11" s="156"/>
      <c r="G11" s="153" t="s">
        <v>26</v>
      </c>
      <c r="H11" s="59" t="str">
        <f>'DATOS CRUDOS PLANTILLA'!F12</f>
        <v/>
      </c>
      <c r="I11" s="154" t="str">
        <f>'DATOS CRUDOS PLANTILLA'!G12</f>
        <v/>
      </c>
      <c r="J11" s="155" t="str">
        <f>'DATOS CRUDOS PLANTILLA'!H12</f>
        <v/>
      </c>
      <c r="K11" s="156"/>
    </row>
    <row r="12" ht="26.25" customHeight="1">
      <c r="A12" s="1"/>
      <c r="B12" s="153" t="s">
        <v>27</v>
      </c>
      <c r="C12" s="59" t="str">
        <f>'DATOS CRUDOS PLANTILLA'!C13</f>
        <v/>
      </c>
      <c r="D12" s="154" t="str">
        <f>'DATOS CRUDOS PLANTILLA'!D13</f>
        <v/>
      </c>
      <c r="E12" s="155" t="str">
        <f>'DATOS CRUDOS PLANTILLA'!E13</f>
        <v/>
      </c>
      <c r="F12" s="156"/>
      <c r="G12" s="153" t="s">
        <v>27</v>
      </c>
      <c r="H12" s="59" t="str">
        <f>'DATOS CRUDOS PLANTILLA'!F13</f>
        <v/>
      </c>
      <c r="I12" s="154" t="str">
        <f>'DATOS CRUDOS PLANTILLA'!G13</f>
        <v/>
      </c>
      <c r="J12" s="155" t="str">
        <f>'DATOS CRUDOS PLANTILLA'!H13</f>
        <v/>
      </c>
      <c r="K12" s="156"/>
    </row>
    <row r="13" ht="26.25" customHeight="1">
      <c r="A13" s="1"/>
      <c r="B13" s="153" t="s">
        <v>28</v>
      </c>
      <c r="C13" s="59" t="str">
        <f>'DATOS CRUDOS PLANTILLA'!C14</f>
        <v/>
      </c>
      <c r="D13" s="154" t="str">
        <f>'DATOS CRUDOS PLANTILLA'!D14</f>
        <v/>
      </c>
      <c r="E13" s="155" t="str">
        <f>'DATOS CRUDOS PLANTILLA'!E14</f>
        <v/>
      </c>
      <c r="F13" s="156"/>
      <c r="G13" s="153" t="s">
        <v>28</v>
      </c>
      <c r="H13" s="59" t="str">
        <f>'DATOS CRUDOS PLANTILLA'!F14</f>
        <v/>
      </c>
      <c r="I13" s="154" t="str">
        <f>'DATOS CRUDOS PLANTILLA'!G14</f>
        <v/>
      </c>
      <c r="J13" s="155" t="str">
        <f>'DATOS CRUDOS PLANTILLA'!H14</f>
        <v/>
      </c>
      <c r="K13" s="156"/>
    </row>
    <row r="14" ht="26.25" customHeight="1">
      <c r="A14" s="1"/>
      <c r="B14" s="153" t="s">
        <v>29</v>
      </c>
      <c r="C14" s="59" t="str">
        <f>'DATOS CRUDOS PLANTILLA'!C15</f>
        <v/>
      </c>
      <c r="D14" s="154" t="str">
        <f>'DATOS CRUDOS PLANTILLA'!D15</f>
        <v/>
      </c>
      <c r="E14" s="155" t="str">
        <f>'DATOS CRUDOS PLANTILLA'!E15</f>
        <v/>
      </c>
      <c r="F14" s="156"/>
      <c r="G14" s="153" t="s">
        <v>29</v>
      </c>
      <c r="H14" s="59" t="str">
        <f>'DATOS CRUDOS PLANTILLA'!F15</f>
        <v/>
      </c>
      <c r="I14" s="154" t="str">
        <f>'DATOS CRUDOS PLANTILLA'!G15</f>
        <v/>
      </c>
      <c r="J14" s="155" t="str">
        <f>'DATOS CRUDOS PLANTILLA'!H15</f>
        <v/>
      </c>
      <c r="K14" s="156"/>
    </row>
    <row r="15" ht="26.25" customHeight="1">
      <c r="A15" s="1"/>
      <c r="B15" s="157" t="s">
        <v>138</v>
      </c>
      <c r="C15" s="158" t="str">
        <f>'DATOS CRUDOS PLANTILLA'!C16</f>
        <v/>
      </c>
      <c r="D15" s="159" t="str">
        <f>'DATOS CRUDOS PLANTILLA'!D16</f>
        <v/>
      </c>
      <c r="E15" s="155" t="str">
        <f>'DATOS CRUDOS PLANTILLA'!E16</f>
        <v/>
      </c>
      <c r="F15" s="156"/>
      <c r="G15" s="157" t="s">
        <v>138</v>
      </c>
      <c r="H15" s="158" t="str">
        <f>'DATOS CRUDOS PLANTILLA'!F16</f>
        <v/>
      </c>
      <c r="I15" s="159" t="str">
        <f>'DATOS CRUDOS PLANTILLA'!G16</f>
        <v/>
      </c>
      <c r="J15" s="155" t="str">
        <f>'DATOS CRUDOS PLANTILLA'!H16</f>
        <v/>
      </c>
      <c r="K15" s="156"/>
    </row>
    <row r="16" ht="7.5" customHeight="1">
      <c r="A16" s="1"/>
      <c r="B16" s="160"/>
      <c r="C16" s="3"/>
      <c r="D16" s="3"/>
      <c r="E16" s="3"/>
      <c r="F16" s="3"/>
      <c r="G16" s="3"/>
      <c r="H16" s="3"/>
      <c r="I16" s="3"/>
      <c r="J16" s="3"/>
      <c r="K16" s="4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7.5" customHeight="1">
      <c r="A18" s="1"/>
      <c r="B18" s="156"/>
      <c r="C18" s="156"/>
      <c r="D18" s="156"/>
      <c r="E18" s="156"/>
      <c r="F18" s="156"/>
      <c r="G18" s="156"/>
      <c r="H18" s="156"/>
      <c r="I18" s="156"/>
      <c r="J18" s="156"/>
      <c r="K18" s="156"/>
    </row>
    <row r="19" ht="26.25" customHeight="1">
      <c r="A19" s="1"/>
      <c r="B19" s="161" t="s">
        <v>70</v>
      </c>
      <c r="C19" s="3"/>
      <c r="D19" s="3"/>
      <c r="E19" s="3"/>
      <c r="F19" s="162"/>
      <c r="G19" s="161" t="s">
        <v>85</v>
      </c>
      <c r="H19" s="3"/>
      <c r="I19" s="3"/>
      <c r="J19" s="3"/>
      <c r="K19" s="162"/>
    </row>
    <row r="20" ht="26.25" customHeight="1">
      <c r="A20" s="1"/>
      <c r="B20" s="163" t="s">
        <v>145</v>
      </c>
      <c r="C20" s="163" t="s">
        <v>20</v>
      </c>
      <c r="D20" s="163" t="s">
        <v>20</v>
      </c>
      <c r="E20" s="163" t="s">
        <v>146</v>
      </c>
      <c r="F20" s="156"/>
      <c r="G20" s="163" t="s">
        <v>145</v>
      </c>
      <c r="H20" s="163" t="s">
        <v>20</v>
      </c>
      <c r="I20" s="163" t="s">
        <v>20</v>
      </c>
      <c r="J20" s="163" t="s">
        <v>146</v>
      </c>
      <c r="K20" s="156"/>
    </row>
    <row r="21" ht="26.25" customHeight="1">
      <c r="A21" s="1"/>
      <c r="B21" s="58" t="str">
        <f>'DATOS CRUDOS PLANTILLA'!B38</f>
        <v/>
      </c>
      <c r="C21" s="164" t="str">
        <f>'DATOS CRUDOS PLANTILLA'!C38</f>
        <v/>
      </c>
      <c r="D21" s="60" t="str">
        <f>'DATOS CRUDOS PLANTILLA'!D38</f>
        <v/>
      </c>
      <c r="E21" s="165"/>
      <c r="F21" s="156"/>
      <c r="G21" s="164" t="str">
        <f>'DATOS CRUDOS PLANTILLA'!E38</f>
        <v/>
      </c>
      <c r="H21" s="164" t="str">
        <f>'DATOS CRUDOS PLANTILLA'!F38</f>
        <v/>
      </c>
      <c r="I21" s="60" t="str">
        <f>'DATOS CRUDOS PLANTILLA'!G38</f>
        <v/>
      </c>
      <c r="J21" s="165"/>
      <c r="K21" s="156"/>
    </row>
    <row r="22" ht="26.25" customHeight="1">
      <c r="A22" s="1"/>
      <c r="B22" s="58" t="str">
        <f>'DATOS CRUDOS PLANTILLA'!B39</f>
        <v/>
      </c>
      <c r="C22" s="164" t="str">
        <f>'DATOS CRUDOS PLANTILLA'!C39</f>
        <v/>
      </c>
      <c r="D22" s="60" t="str">
        <f>'DATOS CRUDOS PLANTILLA'!D39</f>
        <v/>
      </c>
      <c r="E22" s="165"/>
      <c r="F22" s="156"/>
      <c r="G22" s="164" t="str">
        <f>'DATOS CRUDOS PLANTILLA'!E39</f>
        <v/>
      </c>
      <c r="H22" s="164" t="str">
        <f>'DATOS CRUDOS PLANTILLA'!F39</f>
        <v/>
      </c>
      <c r="I22" s="60" t="str">
        <f>'DATOS CRUDOS PLANTILLA'!G39</f>
        <v/>
      </c>
      <c r="J22" s="165"/>
      <c r="K22" s="156"/>
    </row>
    <row r="23" ht="26.25" customHeight="1">
      <c r="A23" s="1"/>
      <c r="B23" s="58" t="str">
        <f>'DATOS CRUDOS PLANTILLA'!B40</f>
        <v/>
      </c>
      <c r="C23" s="164" t="str">
        <f>'DATOS CRUDOS PLANTILLA'!C40</f>
        <v/>
      </c>
      <c r="D23" s="60" t="str">
        <f>'DATOS CRUDOS PLANTILLA'!D40</f>
        <v/>
      </c>
      <c r="E23" s="165"/>
      <c r="F23" s="156"/>
      <c r="G23" s="164" t="str">
        <f>'DATOS CRUDOS PLANTILLA'!E40</f>
        <v/>
      </c>
      <c r="H23" s="164" t="str">
        <f>'DATOS CRUDOS PLANTILLA'!F40</f>
        <v/>
      </c>
      <c r="I23" s="60" t="str">
        <f>'DATOS CRUDOS PLANTILLA'!G40</f>
        <v/>
      </c>
      <c r="J23" s="165"/>
      <c r="K23" s="156"/>
    </row>
    <row r="24" ht="26.25" customHeight="1">
      <c r="A24" s="1"/>
      <c r="B24" s="58" t="str">
        <f>'DATOS CRUDOS PLANTILLA'!B41</f>
        <v/>
      </c>
      <c r="C24" s="164" t="str">
        <f>'DATOS CRUDOS PLANTILLA'!C41</f>
        <v/>
      </c>
      <c r="D24" s="60" t="str">
        <f>'DATOS CRUDOS PLANTILLA'!D41</f>
        <v/>
      </c>
      <c r="E24" s="165"/>
      <c r="F24" s="156"/>
      <c r="G24" s="164" t="str">
        <f>'DATOS CRUDOS PLANTILLA'!E41</f>
        <v/>
      </c>
      <c r="H24" s="164" t="str">
        <f>'DATOS CRUDOS PLANTILLA'!F41</f>
        <v/>
      </c>
      <c r="I24" s="60" t="str">
        <f>'DATOS CRUDOS PLANTILLA'!G41</f>
        <v/>
      </c>
      <c r="J24" s="165"/>
      <c r="K24" s="156"/>
    </row>
    <row r="25" ht="26.25" customHeight="1">
      <c r="A25" s="1"/>
      <c r="B25" s="58" t="str">
        <f>'DATOS CRUDOS PLANTILLA'!B42</f>
        <v/>
      </c>
      <c r="C25" s="164" t="str">
        <f>'DATOS CRUDOS PLANTILLA'!C42</f>
        <v/>
      </c>
      <c r="D25" s="60" t="str">
        <f>'DATOS CRUDOS PLANTILLA'!D42</f>
        <v/>
      </c>
      <c r="E25" s="165"/>
      <c r="F25" s="156"/>
      <c r="G25" s="164" t="str">
        <f>'DATOS CRUDOS PLANTILLA'!E42</f>
        <v/>
      </c>
      <c r="H25" s="164" t="str">
        <f>'DATOS CRUDOS PLANTILLA'!F42</f>
        <v/>
      </c>
      <c r="I25" s="60" t="str">
        <f>'DATOS CRUDOS PLANTILLA'!G42</f>
        <v/>
      </c>
      <c r="J25" s="165"/>
      <c r="K25" s="156"/>
    </row>
    <row r="26" ht="26.25" customHeight="1">
      <c r="A26" s="1"/>
      <c r="B26" s="58" t="str">
        <f>'DATOS CRUDOS PLANTILLA'!B43</f>
        <v/>
      </c>
      <c r="C26" s="164" t="str">
        <f>'DATOS CRUDOS PLANTILLA'!C43</f>
        <v/>
      </c>
      <c r="D26" s="60" t="str">
        <f>'DATOS CRUDOS PLANTILLA'!D43</f>
        <v/>
      </c>
      <c r="E26" s="165"/>
      <c r="F26" s="156"/>
      <c r="G26" s="164" t="str">
        <f>'DATOS CRUDOS PLANTILLA'!E43</f>
        <v/>
      </c>
      <c r="H26" s="164" t="str">
        <f>'DATOS CRUDOS PLANTILLA'!F43</f>
        <v/>
      </c>
      <c r="I26" s="60" t="str">
        <f>'DATOS CRUDOS PLANTILLA'!G43</f>
        <v/>
      </c>
      <c r="J26" s="165"/>
      <c r="K26" s="156"/>
    </row>
    <row r="27" ht="3.75" customHeight="1">
      <c r="A27" s="1"/>
      <c r="B27" s="166"/>
      <c r="C27" s="3"/>
      <c r="D27" s="3"/>
      <c r="E27" s="3"/>
      <c r="F27" s="4"/>
      <c r="G27" s="166"/>
      <c r="H27" s="3"/>
      <c r="I27" s="3"/>
      <c r="J27" s="3"/>
      <c r="K27" s="4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</sheetData>
  <mergeCells count="8">
    <mergeCell ref="B4:E4"/>
    <mergeCell ref="G4:J4"/>
    <mergeCell ref="B16:K16"/>
    <mergeCell ref="B2:K2"/>
    <mergeCell ref="B19:E19"/>
    <mergeCell ref="G19:J19"/>
    <mergeCell ref="G27:K27"/>
    <mergeCell ref="B27:F27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 outlineLevelRow="1"/>
  <cols>
    <col customWidth="1" min="1" max="1" width="1.75"/>
    <col customWidth="1" min="2" max="2" width="34.5"/>
    <col customWidth="1" min="3" max="3" width="23.63"/>
    <col customWidth="1" min="4" max="5" width="24.5"/>
    <col customWidth="1" min="6" max="6" width="11.25"/>
    <col customWidth="1" min="7" max="7" width="61.88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1.75" customHeight="1">
      <c r="A2" s="35"/>
      <c r="B2" s="167" t="s">
        <v>147</v>
      </c>
      <c r="C2" s="3"/>
      <c r="D2" s="3"/>
      <c r="E2" s="3"/>
      <c r="F2" s="3"/>
      <c r="G2" s="4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35"/>
      <c r="B4" s="168" t="s">
        <v>148</v>
      </c>
      <c r="C4" s="3"/>
      <c r="D4" s="4"/>
      <c r="E4" s="169"/>
      <c r="F4" s="3"/>
      <c r="G4" s="4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9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35"/>
      <c r="B6" s="170" t="s">
        <v>56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ht="27.75" customHeight="1" outlineLevel="1">
      <c r="A7" s="35"/>
      <c r="B7" s="171" t="s">
        <v>143</v>
      </c>
      <c r="C7" s="3"/>
      <c r="D7" s="3"/>
      <c r="E7" s="3"/>
      <c r="F7" s="3"/>
      <c r="G7" s="4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21.75" customHeight="1" outlineLevel="1">
      <c r="A8" s="35"/>
      <c r="B8" s="172" t="s">
        <v>69</v>
      </c>
      <c r="C8" s="173" t="s">
        <v>20</v>
      </c>
      <c r="D8" s="174" t="s">
        <v>53</v>
      </c>
      <c r="E8" s="18"/>
      <c r="F8" s="56"/>
      <c r="G8" s="175" t="s">
        <v>149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37.5" customHeight="1" outlineLevel="1">
      <c r="A9" s="1"/>
      <c r="B9" s="176" t="s">
        <v>21</v>
      </c>
      <c r="C9" s="177" t="str">
        <f>'DATOS SECCION PLANTILLA'!E7</f>
        <v/>
      </c>
      <c r="D9" s="178" t="str">
        <f>'DATOS SECCION PLANTILLA'!F7</f>
        <v/>
      </c>
      <c r="E9" s="18"/>
      <c r="F9" s="56"/>
      <c r="G9" s="17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7.5" customHeight="1" outlineLevel="1">
      <c r="A10" s="1"/>
      <c r="B10" s="77"/>
      <c r="C10" s="77"/>
      <c r="D10" s="178" t="str">
        <f>'DATOS SECCION PLANTILLA'!G7</f>
        <v/>
      </c>
      <c r="E10" s="18"/>
      <c r="F10" s="56"/>
      <c r="G10" s="17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7.5" customHeight="1" outlineLevel="1">
      <c r="A11" s="1"/>
      <c r="B11" s="78"/>
      <c r="C11" s="78"/>
      <c r="D11" s="178" t="str">
        <f>'DATOS SECCION PLANTILLA'!H7</f>
        <v/>
      </c>
      <c r="E11" s="18"/>
      <c r="F11" s="56"/>
      <c r="G11" s="17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7.5" customHeight="1" outlineLevel="1">
      <c r="A12" s="1"/>
      <c r="B12" s="176" t="s">
        <v>22</v>
      </c>
      <c r="C12" s="180" t="str">
        <f>'DATOS SECCION PLANTILLA'!E8</f>
        <v/>
      </c>
      <c r="D12" s="181" t="str">
        <f>'DATOS SECCION PLANTILLA'!F8</f>
        <v/>
      </c>
      <c r="G12" s="17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7.5" customHeight="1" outlineLevel="1">
      <c r="A13" s="1"/>
      <c r="B13" s="77"/>
      <c r="D13" s="181" t="str">
        <f>'DATOS SECCION PLANTILLA'!G8</f>
        <v/>
      </c>
      <c r="G13" s="17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7.5" customHeight="1" outlineLevel="1">
      <c r="A14" s="1"/>
      <c r="B14" s="78"/>
      <c r="D14" s="181" t="str">
        <f>'DATOS SECCION PLANTILLA'!H8</f>
        <v/>
      </c>
      <c r="G14" s="17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7.5" customHeight="1" outlineLevel="1">
      <c r="A15" s="1"/>
      <c r="B15" s="176" t="s">
        <v>23</v>
      </c>
      <c r="C15" s="180" t="str">
        <f>'DATOS SECCION PLANTILLA'!E9</f>
        <v/>
      </c>
      <c r="D15" s="181" t="str">
        <f>'DATOS SECCION PLANTILLA'!F9</f>
        <v/>
      </c>
      <c r="G15" s="17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7.5" customHeight="1" outlineLevel="1">
      <c r="A16" s="1"/>
      <c r="B16" s="77"/>
      <c r="D16" s="181" t="str">
        <f>'DATOS SECCION PLANTILLA'!G9</f>
        <v/>
      </c>
      <c r="G16" s="17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7.5" customHeight="1" outlineLevel="1">
      <c r="A17" s="1"/>
      <c r="B17" s="78"/>
      <c r="D17" s="181" t="str">
        <f>'DATOS SECCION PLANTILLA'!H9</f>
        <v/>
      </c>
      <c r="G17" s="17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</sheetData>
  <mergeCells count="21">
    <mergeCell ref="D14:F14"/>
    <mergeCell ref="D15:F15"/>
    <mergeCell ref="D16:F16"/>
    <mergeCell ref="D17:F17"/>
    <mergeCell ref="C12:C14"/>
    <mergeCell ref="C15:C17"/>
    <mergeCell ref="B12:B14"/>
    <mergeCell ref="B15:B17"/>
    <mergeCell ref="D9:F9"/>
    <mergeCell ref="D10:F10"/>
    <mergeCell ref="D12:F12"/>
    <mergeCell ref="D13:F13"/>
    <mergeCell ref="B7:G7"/>
    <mergeCell ref="D8:F8"/>
    <mergeCell ref="B9:B11"/>
    <mergeCell ref="C9:C11"/>
    <mergeCell ref="D11:F11"/>
    <mergeCell ref="B2:G2"/>
    <mergeCell ref="B4:D4"/>
    <mergeCell ref="E4:G4"/>
    <mergeCell ref="B6:G6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75"/>
    <col customWidth="1" min="2" max="2" width="22.75"/>
    <col customWidth="1" min="3" max="65" width="10.5"/>
    <col customWidth="1" min="66" max="66" width="2.63"/>
    <col customWidth="1" min="67" max="67" width="12.25"/>
    <col customWidth="1" min="68" max="81" width="9.63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ht="42.0" customHeight="1">
      <c r="A2" s="1"/>
      <c r="B2" s="13" t="s">
        <v>12</v>
      </c>
      <c r="C2" s="3"/>
      <c r="D2" s="3"/>
      <c r="E2" s="3"/>
      <c r="F2" s="3"/>
      <c r="G2" s="3"/>
      <c r="H2" s="3"/>
      <c r="I2" s="3"/>
      <c r="J2" s="3"/>
      <c r="K2" s="3"/>
      <c r="L2" s="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82"/>
    </row>
    <row r="3" ht="6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</row>
    <row r="4" ht="26.25" customHeight="1">
      <c r="A4" s="1"/>
      <c r="B4" s="15" t="s">
        <v>13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4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</row>
    <row r="5" ht="26.25" customHeight="1">
      <c r="A5" s="1"/>
      <c r="B5" s="16" t="s">
        <v>14</v>
      </c>
      <c r="C5" s="17" t="s">
        <v>15</v>
      </c>
      <c r="D5" s="18"/>
      <c r="E5" s="19"/>
      <c r="F5" s="20" t="s">
        <v>16</v>
      </c>
      <c r="G5" s="18"/>
      <c r="H5" s="19"/>
      <c r="I5" s="17" t="s">
        <v>17</v>
      </c>
      <c r="J5" s="18"/>
      <c r="K5" s="19"/>
      <c r="L5" s="20" t="s">
        <v>18</v>
      </c>
      <c r="M5" s="18"/>
      <c r="N5" s="19"/>
      <c r="O5" s="17" t="s">
        <v>19</v>
      </c>
      <c r="P5" s="18"/>
      <c r="Q5" s="19"/>
      <c r="R5" s="20" t="s">
        <v>150</v>
      </c>
      <c r="S5" s="18"/>
      <c r="T5" s="19"/>
      <c r="U5" s="17" t="s">
        <v>151</v>
      </c>
      <c r="V5" s="18"/>
      <c r="W5" s="19"/>
      <c r="X5" s="20" t="s">
        <v>152</v>
      </c>
      <c r="Y5" s="18"/>
      <c r="Z5" s="19"/>
      <c r="AA5" s="17" t="s">
        <v>153</v>
      </c>
      <c r="AB5" s="18"/>
      <c r="AC5" s="19"/>
      <c r="AD5" s="20" t="s">
        <v>154</v>
      </c>
      <c r="AE5" s="18"/>
      <c r="AF5" s="19"/>
      <c r="AG5" s="17" t="s">
        <v>155</v>
      </c>
      <c r="AH5" s="18"/>
      <c r="AI5" s="19"/>
      <c r="AJ5" s="20" t="s">
        <v>156</v>
      </c>
      <c r="AK5" s="18"/>
      <c r="AL5" s="19"/>
      <c r="AM5" s="17" t="s">
        <v>157</v>
      </c>
      <c r="AN5" s="18"/>
      <c r="AO5" s="19"/>
      <c r="AP5" s="20" t="s">
        <v>158</v>
      </c>
      <c r="AQ5" s="18"/>
      <c r="AR5" s="19"/>
      <c r="AS5" s="17" t="s">
        <v>159</v>
      </c>
      <c r="AT5" s="18"/>
      <c r="AU5" s="19"/>
      <c r="AV5" s="20" t="s">
        <v>160</v>
      </c>
      <c r="AW5" s="18"/>
      <c r="AX5" s="19"/>
      <c r="AY5" s="17" t="s">
        <v>161</v>
      </c>
      <c r="AZ5" s="18"/>
      <c r="BA5" s="19"/>
      <c r="BB5" s="20" t="s">
        <v>162</v>
      </c>
      <c r="BC5" s="18"/>
      <c r="BD5" s="19"/>
      <c r="BE5" s="17" t="s">
        <v>163</v>
      </c>
      <c r="BF5" s="18"/>
      <c r="BG5" s="19"/>
      <c r="BH5" s="20" t="s">
        <v>164</v>
      </c>
      <c r="BI5" s="18"/>
      <c r="BJ5" s="19"/>
      <c r="BK5" s="17" t="s">
        <v>165</v>
      </c>
      <c r="BL5" s="18"/>
      <c r="BM5" s="19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</row>
    <row r="6" ht="26.25" customHeight="1">
      <c r="A6" s="1"/>
      <c r="B6" s="21"/>
      <c r="C6" s="22" t="s">
        <v>20</v>
      </c>
      <c r="D6" s="22" t="s">
        <v>20</v>
      </c>
      <c r="E6" s="22" t="s">
        <v>20</v>
      </c>
      <c r="F6" s="23" t="s">
        <v>20</v>
      </c>
      <c r="G6" s="23" t="s">
        <v>20</v>
      </c>
      <c r="H6" s="23" t="s">
        <v>20</v>
      </c>
      <c r="I6" s="22" t="s">
        <v>20</v>
      </c>
      <c r="J6" s="22" t="s">
        <v>20</v>
      </c>
      <c r="K6" s="22" t="s">
        <v>20</v>
      </c>
      <c r="L6" s="23" t="s">
        <v>20</v>
      </c>
      <c r="M6" s="23" t="s">
        <v>20</v>
      </c>
      <c r="N6" s="23" t="s">
        <v>20</v>
      </c>
      <c r="O6" s="22" t="s">
        <v>20</v>
      </c>
      <c r="P6" s="22" t="s">
        <v>20</v>
      </c>
      <c r="Q6" s="22" t="s">
        <v>20</v>
      </c>
      <c r="R6" s="23" t="s">
        <v>20</v>
      </c>
      <c r="S6" s="23" t="s">
        <v>20</v>
      </c>
      <c r="T6" s="23" t="s">
        <v>20</v>
      </c>
      <c r="U6" s="22" t="s">
        <v>20</v>
      </c>
      <c r="V6" s="22" t="s">
        <v>20</v>
      </c>
      <c r="W6" s="22" t="s">
        <v>20</v>
      </c>
      <c r="X6" s="23" t="s">
        <v>20</v>
      </c>
      <c r="Y6" s="23" t="s">
        <v>20</v>
      </c>
      <c r="Z6" s="23" t="s">
        <v>20</v>
      </c>
      <c r="AA6" s="22" t="s">
        <v>20</v>
      </c>
      <c r="AB6" s="22" t="s">
        <v>20</v>
      </c>
      <c r="AC6" s="22" t="s">
        <v>20</v>
      </c>
      <c r="AD6" s="23" t="s">
        <v>20</v>
      </c>
      <c r="AE6" s="23" t="s">
        <v>20</v>
      </c>
      <c r="AF6" s="23" t="s">
        <v>20</v>
      </c>
      <c r="AG6" s="22" t="s">
        <v>20</v>
      </c>
      <c r="AH6" s="22" t="s">
        <v>20</v>
      </c>
      <c r="AI6" s="22" t="s">
        <v>20</v>
      </c>
      <c r="AJ6" s="23" t="s">
        <v>20</v>
      </c>
      <c r="AK6" s="23" t="s">
        <v>20</v>
      </c>
      <c r="AL6" s="23" t="s">
        <v>20</v>
      </c>
      <c r="AM6" s="22" t="s">
        <v>20</v>
      </c>
      <c r="AN6" s="22" t="s">
        <v>20</v>
      </c>
      <c r="AO6" s="22" t="s">
        <v>20</v>
      </c>
      <c r="AP6" s="23" t="s">
        <v>20</v>
      </c>
      <c r="AQ6" s="23" t="s">
        <v>20</v>
      </c>
      <c r="AR6" s="23" t="s">
        <v>20</v>
      </c>
      <c r="AS6" s="22" t="s">
        <v>20</v>
      </c>
      <c r="AT6" s="22" t="s">
        <v>20</v>
      </c>
      <c r="AU6" s="22" t="s">
        <v>20</v>
      </c>
      <c r="AV6" s="23" t="s">
        <v>20</v>
      </c>
      <c r="AW6" s="23" t="s">
        <v>20</v>
      </c>
      <c r="AX6" s="23" t="s">
        <v>20</v>
      </c>
      <c r="AY6" s="22" t="s">
        <v>20</v>
      </c>
      <c r="AZ6" s="22" t="s">
        <v>20</v>
      </c>
      <c r="BA6" s="22" t="s">
        <v>20</v>
      </c>
      <c r="BB6" s="23" t="s">
        <v>20</v>
      </c>
      <c r="BC6" s="23" t="s">
        <v>20</v>
      </c>
      <c r="BD6" s="23" t="s">
        <v>20</v>
      </c>
      <c r="BE6" s="22" t="s">
        <v>20</v>
      </c>
      <c r="BF6" s="22" t="s">
        <v>20</v>
      </c>
      <c r="BG6" s="22" t="s">
        <v>20</v>
      </c>
      <c r="BH6" s="23" t="s">
        <v>20</v>
      </c>
      <c r="BI6" s="23" t="s">
        <v>20</v>
      </c>
      <c r="BJ6" s="23" t="s">
        <v>20</v>
      </c>
      <c r="BK6" s="22" t="s">
        <v>20</v>
      </c>
      <c r="BL6" s="22" t="s">
        <v>20</v>
      </c>
      <c r="BM6" s="22" t="s">
        <v>20</v>
      </c>
      <c r="BN6" s="183"/>
      <c r="BO6" s="183"/>
      <c r="BP6" s="183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</row>
    <row r="7" ht="26.25" customHeight="1">
      <c r="A7" s="1"/>
      <c r="B7" s="24" t="s">
        <v>21</v>
      </c>
      <c r="C7" s="184">
        <f t="shared" ref="C7:BM7" si="1">RANDBETWEEN(0,100)</f>
        <v>93</v>
      </c>
      <c r="D7" s="184">
        <f t="shared" si="1"/>
        <v>91</v>
      </c>
      <c r="E7" s="184">
        <f t="shared" si="1"/>
        <v>33</v>
      </c>
      <c r="F7" s="184">
        <f t="shared" si="1"/>
        <v>87</v>
      </c>
      <c r="G7" s="184">
        <f t="shared" si="1"/>
        <v>4</v>
      </c>
      <c r="H7" s="184">
        <f t="shared" si="1"/>
        <v>55</v>
      </c>
      <c r="I7" s="184">
        <f t="shared" si="1"/>
        <v>0</v>
      </c>
      <c r="J7" s="184">
        <f t="shared" si="1"/>
        <v>85</v>
      </c>
      <c r="K7" s="184">
        <f t="shared" si="1"/>
        <v>62</v>
      </c>
      <c r="L7" s="184">
        <f t="shared" si="1"/>
        <v>23</v>
      </c>
      <c r="M7" s="184">
        <f t="shared" si="1"/>
        <v>69</v>
      </c>
      <c r="N7" s="184">
        <f t="shared" si="1"/>
        <v>51</v>
      </c>
      <c r="O7" s="184">
        <f t="shared" si="1"/>
        <v>40</v>
      </c>
      <c r="P7" s="184">
        <f t="shared" si="1"/>
        <v>43</v>
      </c>
      <c r="Q7" s="184">
        <f t="shared" si="1"/>
        <v>85</v>
      </c>
      <c r="R7" s="184">
        <f t="shared" si="1"/>
        <v>40</v>
      </c>
      <c r="S7" s="184">
        <f t="shared" si="1"/>
        <v>76</v>
      </c>
      <c r="T7" s="184">
        <f t="shared" si="1"/>
        <v>81</v>
      </c>
      <c r="U7" s="184">
        <f t="shared" si="1"/>
        <v>83</v>
      </c>
      <c r="V7" s="184">
        <f t="shared" si="1"/>
        <v>61</v>
      </c>
      <c r="W7" s="184">
        <f t="shared" si="1"/>
        <v>53</v>
      </c>
      <c r="X7" s="184">
        <f t="shared" si="1"/>
        <v>40</v>
      </c>
      <c r="Y7" s="184">
        <f t="shared" si="1"/>
        <v>57</v>
      </c>
      <c r="Z7" s="184">
        <f t="shared" si="1"/>
        <v>68</v>
      </c>
      <c r="AA7" s="184">
        <f t="shared" si="1"/>
        <v>70</v>
      </c>
      <c r="AB7" s="184">
        <f t="shared" si="1"/>
        <v>73</v>
      </c>
      <c r="AC7" s="184">
        <f t="shared" si="1"/>
        <v>24</v>
      </c>
      <c r="AD7" s="184">
        <f t="shared" si="1"/>
        <v>66</v>
      </c>
      <c r="AE7" s="184">
        <f t="shared" si="1"/>
        <v>75</v>
      </c>
      <c r="AF7" s="184">
        <f t="shared" si="1"/>
        <v>82</v>
      </c>
      <c r="AG7" s="184">
        <f t="shared" si="1"/>
        <v>89</v>
      </c>
      <c r="AH7" s="184">
        <f t="shared" si="1"/>
        <v>45</v>
      </c>
      <c r="AI7" s="184">
        <f t="shared" si="1"/>
        <v>3</v>
      </c>
      <c r="AJ7" s="184">
        <f t="shared" si="1"/>
        <v>43</v>
      </c>
      <c r="AK7" s="184">
        <f t="shared" si="1"/>
        <v>50</v>
      </c>
      <c r="AL7" s="184">
        <f t="shared" si="1"/>
        <v>75</v>
      </c>
      <c r="AM7" s="184">
        <f t="shared" si="1"/>
        <v>35</v>
      </c>
      <c r="AN7" s="184">
        <f t="shared" si="1"/>
        <v>92</v>
      </c>
      <c r="AO7" s="184">
        <f t="shared" si="1"/>
        <v>91</v>
      </c>
      <c r="AP7" s="184">
        <f t="shared" si="1"/>
        <v>28</v>
      </c>
      <c r="AQ7" s="184">
        <f t="shared" si="1"/>
        <v>56</v>
      </c>
      <c r="AR7" s="184">
        <f t="shared" si="1"/>
        <v>51</v>
      </c>
      <c r="AS7" s="184">
        <f t="shared" si="1"/>
        <v>33</v>
      </c>
      <c r="AT7" s="184">
        <f t="shared" si="1"/>
        <v>12</v>
      </c>
      <c r="AU7" s="184">
        <f t="shared" si="1"/>
        <v>18</v>
      </c>
      <c r="AV7" s="184">
        <f t="shared" si="1"/>
        <v>98</v>
      </c>
      <c r="AW7" s="184">
        <f t="shared" si="1"/>
        <v>74</v>
      </c>
      <c r="AX7" s="184">
        <f t="shared" si="1"/>
        <v>24</v>
      </c>
      <c r="AY7" s="184">
        <f t="shared" si="1"/>
        <v>5</v>
      </c>
      <c r="AZ7" s="184">
        <f t="shared" si="1"/>
        <v>90</v>
      </c>
      <c r="BA7" s="184">
        <f t="shared" si="1"/>
        <v>20</v>
      </c>
      <c r="BB7" s="184">
        <f t="shared" si="1"/>
        <v>67</v>
      </c>
      <c r="BC7" s="184">
        <f t="shared" si="1"/>
        <v>50</v>
      </c>
      <c r="BD7" s="184">
        <f t="shared" si="1"/>
        <v>10</v>
      </c>
      <c r="BE7" s="184">
        <f t="shared" si="1"/>
        <v>85</v>
      </c>
      <c r="BF7" s="184">
        <f t="shared" si="1"/>
        <v>82</v>
      </c>
      <c r="BG7" s="184">
        <f t="shared" si="1"/>
        <v>78</v>
      </c>
      <c r="BH7" s="184">
        <f t="shared" si="1"/>
        <v>87</v>
      </c>
      <c r="BI7" s="184">
        <f t="shared" si="1"/>
        <v>17</v>
      </c>
      <c r="BJ7" s="184">
        <f t="shared" si="1"/>
        <v>91</v>
      </c>
      <c r="BK7" s="184">
        <f t="shared" si="1"/>
        <v>56</v>
      </c>
      <c r="BL7" s="184">
        <f t="shared" si="1"/>
        <v>6</v>
      </c>
      <c r="BM7" s="184">
        <f t="shared" si="1"/>
        <v>87</v>
      </c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</row>
    <row r="8" ht="26.25" customHeight="1">
      <c r="A8" s="1"/>
      <c r="B8" s="24" t="s">
        <v>22</v>
      </c>
      <c r="C8" s="184">
        <f t="shared" ref="C8:BM8" si="2">RANDBETWEEN(0,100)</f>
        <v>57</v>
      </c>
      <c r="D8" s="184">
        <f t="shared" si="2"/>
        <v>10</v>
      </c>
      <c r="E8" s="184">
        <f t="shared" si="2"/>
        <v>87</v>
      </c>
      <c r="F8" s="184">
        <f t="shared" si="2"/>
        <v>53</v>
      </c>
      <c r="G8" s="184">
        <f t="shared" si="2"/>
        <v>91</v>
      </c>
      <c r="H8" s="184">
        <f t="shared" si="2"/>
        <v>84</v>
      </c>
      <c r="I8" s="184">
        <f t="shared" si="2"/>
        <v>22</v>
      </c>
      <c r="J8" s="184">
        <f t="shared" si="2"/>
        <v>73</v>
      </c>
      <c r="K8" s="184">
        <f t="shared" si="2"/>
        <v>59</v>
      </c>
      <c r="L8" s="184">
        <f t="shared" si="2"/>
        <v>63</v>
      </c>
      <c r="M8" s="184">
        <f t="shared" si="2"/>
        <v>38</v>
      </c>
      <c r="N8" s="184">
        <f t="shared" si="2"/>
        <v>2</v>
      </c>
      <c r="O8" s="184">
        <f t="shared" si="2"/>
        <v>92</v>
      </c>
      <c r="P8" s="184">
        <f t="shared" si="2"/>
        <v>21</v>
      </c>
      <c r="Q8" s="184">
        <f t="shared" si="2"/>
        <v>18</v>
      </c>
      <c r="R8" s="184">
        <f t="shared" si="2"/>
        <v>4</v>
      </c>
      <c r="S8" s="184">
        <f t="shared" si="2"/>
        <v>17</v>
      </c>
      <c r="T8" s="184">
        <f t="shared" si="2"/>
        <v>97</v>
      </c>
      <c r="U8" s="184">
        <f t="shared" si="2"/>
        <v>62</v>
      </c>
      <c r="V8" s="184">
        <f t="shared" si="2"/>
        <v>25</v>
      </c>
      <c r="W8" s="184">
        <f t="shared" si="2"/>
        <v>67</v>
      </c>
      <c r="X8" s="184">
        <f t="shared" si="2"/>
        <v>73</v>
      </c>
      <c r="Y8" s="184">
        <f t="shared" si="2"/>
        <v>73</v>
      </c>
      <c r="Z8" s="184">
        <f t="shared" si="2"/>
        <v>66</v>
      </c>
      <c r="AA8" s="184">
        <f t="shared" si="2"/>
        <v>88</v>
      </c>
      <c r="AB8" s="184">
        <f t="shared" si="2"/>
        <v>80</v>
      </c>
      <c r="AC8" s="184">
        <f t="shared" si="2"/>
        <v>73</v>
      </c>
      <c r="AD8" s="184">
        <f t="shared" si="2"/>
        <v>86</v>
      </c>
      <c r="AE8" s="184">
        <f t="shared" si="2"/>
        <v>13</v>
      </c>
      <c r="AF8" s="184">
        <f t="shared" si="2"/>
        <v>54</v>
      </c>
      <c r="AG8" s="184">
        <f t="shared" si="2"/>
        <v>76</v>
      </c>
      <c r="AH8" s="184">
        <f t="shared" si="2"/>
        <v>42</v>
      </c>
      <c r="AI8" s="184">
        <f t="shared" si="2"/>
        <v>21</v>
      </c>
      <c r="AJ8" s="184">
        <f t="shared" si="2"/>
        <v>97</v>
      </c>
      <c r="AK8" s="184">
        <f t="shared" si="2"/>
        <v>96</v>
      </c>
      <c r="AL8" s="184">
        <f t="shared" si="2"/>
        <v>56</v>
      </c>
      <c r="AM8" s="184">
        <f t="shared" si="2"/>
        <v>46</v>
      </c>
      <c r="AN8" s="184">
        <f t="shared" si="2"/>
        <v>29</v>
      </c>
      <c r="AO8" s="184">
        <f t="shared" si="2"/>
        <v>51</v>
      </c>
      <c r="AP8" s="184">
        <f t="shared" si="2"/>
        <v>80</v>
      </c>
      <c r="AQ8" s="184">
        <f t="shared" si="2"/>
        <v>61</v>
      </c>
      <c r="AR8" s="184">
        <f t="shared" si="2"/>
        <v>14</v>
      </c>
      <c r="AS8" s="184">
        <f t="shared" si="2"/>
        <v>89</v>
      </c>
      <c r="AT8" s="184">
        <f t="shared" si="2"/>
        <v>90</v>
      </c>
      <c r="AU8" s="184">
        <f t="shared" si="2"/>
        <v>27</v>
      </c>
      <c r="AV8" s="184">
        <f t="shared" si="2"/>
        <v>13</v>
      </c>
      <c r="AW8" s="184">
        <f t="shared" si="2"/>
        <v>55</v>
      </c>
      <c r="AX8" s="184">
        <f t="shared" si="2"/>
        <v>27</v>
      </c>
      <c r="AY8" s="184">
        <f t="shared" si="2"/>
        <v>73</v>
      </c>
      <c r="AZ8" s="184">
        <f t="shared" si="2"/>
        <v>79</v>
      </c>
      <c r="BA8" s="184">
        <f t="shared" si="2"/>
        <v>75</v>
      </c>
      <c r="BB8" s="184">
        <f t="shared" si="2"/>
        <v>86</v>
      </c>
      <c r="BC8" s="184">
        <f t="shared" si="2"/>
        <v>65</v>
      </c>
      <c r="BD8" s="184">
        <f t="shared" si="2"/>
        <v>19</v>
      </c>
      <c r="BE8" s="184">
        <f t="shared" si="2"/>
        <v>12</v>
      </c>
      <c r="BF8" s="184">
        <f t="shared" si="2"/>
        <v>82</v>
      </c>
      <c r="BG8" s="184">
        <f t="shared" si="2"/>
        <v>70</v>
      </c>
      <c r="BH8" s="184">
        <f t="shared" si="2"/>
        <v>77</v>
      </c>
      <c r="BI8" s="184">
        <f t="shared" si="2"/>
        <v>35</v>
      </c>
      <c r="BJ8" s="184">
        <f t="shared" si="2"/>
        <v>89</v>
      </c>
      <c r="BK8" s="184">
        <f t="shared" si="2"/>
        <v>26</v>
      </c>
      <c r="BL8" s="184">
        <f t="shared" si="2"/>
        <v>3</v>
      </c>
      <c r="BM8" s="184">
        <f t="shared" si="2"/>
        <v>11</v>
      </c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</row>
    <row r="9" ht="26.25" customHeight="1">
      <c r="A9" s="1"/>
      <c r="B9" s="24" t="s">
        <v>23</v>
      </c>
      <c r="C9" s="184">
        <f t="shared" ref="C9:BM9" si="3">RANDBETWEEN(0,100)</f>
        <v>32</v>
      </c>
      <c r="D9" s="184">
        <f t="shared" si="3"/>
        <v>91</v>
      </c>
      <c r="E9" s="184">
        <f t="shared" si="3"/>
        <v>21</v>
      </c>
      <c r="F9" s="184">
        <f t="shared" si="3"/>
        <v>44</v>
      </c>
      <c r="G9" s="184">
        <f t="shared" si="3"/>
        <v>49</v>
      </c>
      <c r="H9" s="184">
        <f t="shared" si="3"/>
        <v>2</v>
      </c>
      <c r="I9" s="184">
        <f t="shared" si="3"/>
        <v>2</v>
      </c>
      <c r="J9" s="184">
        <f t="shared" si="3"/>
        <v>2</v>
      </c>
      <c r="K9" s="184">
        <f t="shared" si="3"/>
        <v>84</v>
      </c>
      <c r="L9" s="184">
        <f t="shared" si="3"/>
        <v>83</v>
      </c>
      <c r="M9" s="184">
        <f t="shared" si="3"/>
        <v>78</v>
      </c>
      <c r="N9" s="184">
        <f t="shared" si="3"/>
        <v>100</v>
      </c>
      <c r="O9" s="184">
        <f t="shared" si="3"/>
        <v>2</v>
      </c>
      <c r="P9" s="184">
        <f t="shared" si="3"/>
        <v>89</v>
      </c>
      <c r="Q9" s="184">
        <f t="shared" si="3"/>
        <v>88</v>
      </c>
      <c r="R9" s="184">
        <f t="shared" si="3"/>
        <v>4</v>
      </c>
      <c r="S9" s="184">
        <f t="shared" si="3"/>
        <v>89</v>
      </c>
      <c r="T9" s="184">
        <f t="shared" si="3"/>
        <v>37</v>
      </c>
      <c r="U9" s="184">
        <f t="shared" si="3"/>
        <v>14</v>
      </c>
      <c r="V9" s="184">
        <f t="shared" si="3"/>
        <v>44</v>
      </c>
      <c r="W9" s="184">
        <f t="shared" si="3"/>
        <v>16</v>
      </c>
      <c r="X9" s="184">
        <f t="shared" si="3"/>
        <v>53</v>
      </c>
      <c r="Y9" s="184">
        <f t="shared" si="3"/>
        <v>14</v>
      </c>
      <c r="Z9" s="184">
        <f t="shared" si="3"/>
        <v>40</v>
      </c>
      <c r="AA9" s="184">
        <f t="shared" si="3"/>
        <v>39</v>
      </c>
      <c r="AB9" s="184">
        <f t="shared" si="3"/>
        <v>63</v>
      </c>
      <c r="AC9" s="184">
        <f t="shared" si="3"/>
        <v>4</v>
      </c>
      <c r="AD9" s="184">
        <f t="shared" si="3"/>
        <v>95</v>
      </c>
      <c r="AE9" s="184">
        <f t="shared" si="3"/>
        <v>66</v>
      </c>
      <c r="AF9" s="184">
        <f t="shared" si="3"/>
        <v>98</v>
      </c>
      <c r="AG9" s="184">
        <f t="shared" si="3"/>
        <v>16</v>
      </c>
      <c r="AH9" s="184">
        <f t="shared" si="3"/>
        <v>9</v>
      </c>
      <c r="AI9" s="184">
        <f t="shared" si="3"/>
        <v>7</v>
      </c>
      <c r="AJ9" s="184">
        <f t="shared" si="3"/>
        <v>3</v>
      </c>
      <c r="AK9" s="184">
        <f t="shared" si="3"/>
        <v>10</v>
      </c>
      <c r="AL9" s="184">
        <f t="shared" si="3"/>
        <v>61</v>
      </c>
      <c r="AM9" s="184">
        <f t="shared" si="3"/>
        <v>42</v>
      </c>
      <c r="AN9" s="184">
        <f t="shared" si="3"/>
        <v>19</v>
      </c>
      <c r="AO9" s="184">
        <f t="shared" si="3"/>
        <v>91</v>
      </c>
      <c r="AP9" s="184">
        <f t="shared" si="3"/>
        <v>72</v>
      </c>
      <c r="AQ9" s="184">
        <f t="shared" si="3"/>
        <v>32</v>
      </c>
      <c r="AR9" s="184">
        <f t="shared" si="3"/>
        <v>34</v>
      </c>
      <c r="AS9" s="184">
        <f t="shared" si="3"/>
        <v>91</v>
      </c>
      <c r="AT9" s="184">
        <f t="shared" si="3"/>
        <v>46</v>
      </c>
      <c r="AU9" s="184">
        <f t="shared" si="3"/>
        <v>61</v>
      </c>
      <c r="AV9" s="184">
        <f t="shared" si="3"/>
        <v>48</v>
      </c>
      <c r="AW9" s="184">
        <f t="shared" si="3"/>
        <v>0</v>
      </c>
      <c r="AX9" s="184">
        <f t="shared" si="3"/>
        <v>63</v>
      </c>
      <c r="AY9" s="184">
        <f t="shared" si="3"/>
        <v>13</v>
      </c>
      <c r="AZ9" s="184">
        <f t="shared" si="3"/>
        <v>4</v>
      </c>
      <c r="BA9" s="184">
        <f t="shared" si="3"/>
        <v>64</v>
      </c>
      <c r="BB9" s="184">
        <f t="shared" si="3"/>
        <v>45</v>
      </c>
      <c r="BC9" s="184">
        <f t="shared" si="3"/>
        <v>95</v>
      </c>
      <c r="BD9" s="184">
        <f t="shared" si="3"/>
        <v>49</v>
      </c>
      <c r="BE9" s="184">
        <f t="shared" si="3"/>
        <v>71</v>
      </c>
      <c r="BF9" s="184">
        <f t="shared" si="3"/>
        <v>41</v>
      </c>
      <c r="BG9" s="184">
        <f t="shared" si="3"/>
        <v>58</v>
      </c>
      <c r="BH9" s="184">
        <f t="shared" si="3"/>
        <v>60</v>
      </c>
      <c r="BI9" s="184">
        <f t="shared" si="3"/>
        <v>3</v>
      </c>
      <c r="BJ9" s="184">
        <f t="shared" si="3"/>
        <v>97</v>
      </c>
      <c r="BK9" s="184">
        <f t="shared" si="3"/>
        <v>1</v>
      </c>
      <c r="BL9" s="184">
        <f t="shared" si="3"/>
        <v>32</v>
      </c>
      <c r="BM9" s="184">
        <f t="shared" si="3"/>
        <v>38</v>
      </c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</row>
    <row r="10" ht="26.25" customHeight="1">
      <c r="A10" s="1"/>
      <c r="B10" s="24" t="s">
        <v>24</v>
      </c>
      <c r="C10" s="184">
        <f t="shared" ref="C10:BM10" si="4">RANDBETWEEN(0,100)</f>
        <v>65</v>
      </c>
      <c r="D10" s="184">
        <f t="shared" si="4"/>
        <v>8</v>
      </c>
      <c r="E10" s="184">
        <f t="shared" si="4"/>
        <v>7</v>
      </c>
      <c r="F10" s="184">
        <f t="shared" si="4"/>
        <v>78</v>
      </c>
      <c r="G10" s="184">
        <f t="shared" si="4"/>
        <v>99</v>
      </c>
      <c r="H10" s="184">
        <f t="shared" si="4"/>
        <v>27</v>
      </c>
      <c r="I10" s="184">
        <f t="shared" si="4"/>
        <v>59</v>
      </c>
      <c r="J10" s="184">
        <f t="shared" si="4"/>
        <v>20</v>
      </c>
      <c r="K10" s="184">
        <f t="shared" si="4"/>
        <v>35</v>
      </c>
      <c r="L10" s="184">
        <f t="shared" si="4"/>
        <v>73</v>
      </c>
      <c r="M10" s="184">
        <f t="shared" si="4"/>
        <v>53</v>
      </c>
      <c r="N10" s="184">
        <f t="shared" si="4"/>
        <v>21</v>
      </c>
      <c r="O10" s="184">
        <f t="shared" si="4"/>
        <v>60</v>
      </c>
      <c r="P10" s="184">
        <f t="shared" si="4"/>
        <v>71</v>
      </c>
      <c r="Q10" s="184">
        <f t="shared" si="4"/>
        <v>50</v>
      </c>
      <c r="R10" s="184">
        <f t="shared" si="4"/>
        <v>72</v>
      </c>
      <c r="S10" s="184">
        <f t="shared" si="4"/>
        <v>24</v>
      </c>
      <c r="T10" s="184">
        <f t="shared" si="4"/>
        <v>56</v>
      </c>
      <c r="U10" s="184">
        <f t="shared" si="4"/>
        <v>9</v>
      </c>
      <c r="V10" s="184">
        <f t="shared" si="4"/>
        <v>93</v>
      </c>
      <c r="W10" s="184">
        <f t="shared" si="4"/>
        <v>84</v>
      </c>
      <c r="X10" s="184">
        <f t="shared" si="4"/>
        <v>98</v>
      </c>
      <c r="Y10" s="184">
        <f t="shared" si="4"/>
        <v>90</v>
      </c>
      <c r="Z10" s="184">
        <f t="shared" si="4"/>
        <v>69</v>
      </c>
      <c r="AA10" s="184">
        <f t="shared" si="4"/>
        <v>41</v>
      </c>
      <c r="AB10" s="184">
        <f t="shared" si="4"/>
        <v>20</v>
      </c>
      <c r="AC10" s="184">
        <f t="shared" si="4"/>
        <v>41</v>
      </c>
      <c r="AD10" s="184">
        <f t="shared" si="4"/>
        <v>48</v>
      </c>
      <c r="AE10" s="184">
        <f t="shared" si="4"/>
        <v>37</v>
      </c>
      <c r="AF10" s="184">
        <f t="shared" si="4"/>
        <v>43</v>
      </c>
      <c r="AG10" s="184">
        <f t="shared" si="4"/>
        <v>21</v>
      </c>
      <c r="AH10" s="184">
        <f t="shared" si="4"/>
        <v>90</v>
      </c>
      <c r="AI10" s="184">
        <f t="shared" si="4"/>
        <v>78</v>
      </c>
      <c r="AJ10" s="184">
        <f t="shared" si="4"/>
        <v>50</v>
      </c>
      <c r="AK10" s="184">
        <f t="shared" si="4"/>
        <v>53</v>
      </c>
      <c r="AL10" s="184">
        <f t="shared" si="4"/>
        <v>54</v>
      </c>
      <c r="AM10" s="184">
        <f t="shared" si="4"/>
        <v>90</v>
      </c>
      <c r="AN10" s="184">
        <f t="shared" si="4"/>
        <v>67</v>
      </c>
      <c r="AO10" s="184">
        <f t="shared" si="4"/>
        <v>16</v>
      </c>
      <c r="AP10" s="184">
        <f t="shared" si="4"/>
        <v>62</v>
      </c>
      <c r="AQ10" s="184">
        <f t="shared" si="4"/>
        <v>40</v>
      </c>
      <c r="AR10" s="184">
        <f t="shared" si="4"/>
        <v>17</v>
      </c>
      <c r="AS10" s="184">
        <f t="shared" si="4"/>
        <v>26</v>
      </c>
      <c r="AT10" s="184">
        <f t="shared" si="4"/>
        <v>48</v>
      </c>
      <c r="AU10" s="184">
        <f t="shared" si="4"/>
        <v>65</v>
      </c>
      <c r="AV10" s="184">
        <f t="shared" si="4"/>
        <v>74</v>
      </c>
      <c r="AW10" s="184">
        <f t="shared" si="4"/>
        <v>60</v>
      </c>
      <c r="AX10" s="184">
        <f t="shared" si="4"/>
        <v>12</v>
      </c>
      <c r="AY10" s="184">
        <f t="shared" si="4"/>
        <v>84</v>
      </c>
      <c r="AZ10" s="184">
        <f t="shared" si="4"/>
        <v>25</v>
      </c>
      <c r="BA10" s="184">
        <f t="shared" si="4"/>
        <v>14</v>
      </c>
      <c r="BB10" s="184">
        <f t="shared" si="4"/>
        <v>32</v>
      </c>
      <c r="BC10" s="184">
        <f t="shared" si="4"/>
        <v>11</v>
      </c>
      <c r="BD10" s="184">
        <f t="shared" si="4"/>
        <v>38</v>
      </c>
      <c r="BE10" s="184">
        <f t="shared" si="4"/>
        <v>18</v>
      </c>
      <c r="BF10" s="184">
        <f t="shared" si="4"/>
        <v>79</v>
      </c>
      <c r="BG10" s="184">
        <f t="shared" si="4"/>
        <v>83</v>
      </c>
      <c r="BH10" s="184">
        <f t="shared" si="4"/>
        <v>73</v>
      </c>
      <c r="BI10" s="184">
        <f t="shared" si="4"/>
        <v>39</v>
      </c>
      <c r="BJ10" s="184">
        <f t="shared" si="4"/>
        <v>68</v>
      </c>
      <c r="BK10" s="184">
        <f t="shared" si="4"/>
        <v>48</v>
      </c>
      <c r="BL10" s="184">
        <f t="shared" si="4"/>
        <v>82</v>
      </c>
      <c r="BM10" s="184">
        <f t="shared" si="4"/>
        <v>35</v>
      </c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</row>
    <row r="11" ht="26.25" customHeight="1">
      <c r="A11" s="1"/>
      <c r="B11" s="24" t="s">
        <v>25</v>
      </c>
      <c r="C11" s="184">
        <f t="shared" ref="C11:BM11" si="5">RANDBETWEEN(0,100)</f>
        <v>89</v>
      </c>
      <c r="D11" s="184">
        <f t="shared" si="5"/>
        <v>9</v>
      </c>
      <c r="E11" s="184">
        <f t="shared" si="5"/>
        <v>38</v>
      </c>
      <c r="F11" s="184">
        <f t="shared" si="5"/>
        <v>98</v>
      </c>
      <c r="G11" s="184">
        <f t="shared" si="5"/>
        <v>26</v>
      </c>
      <c r="H11" s="184">
        <f t="shared" si="5"/>
        <v>57</v>
      </c>
      <c r="I11" s="184">
        <f t="shared" si="5"/>
        <v>95</v>
      </c>
      <c r="J11" s="184">
        <f t="shared" si="5"/>
        <v>59</v>
      </c>
      <c r="K11" s="184">
        <f t="shared" si="5"/>
        <v>58</v>
      </c>
      <c r="L11" s="184">
        <f t="shared" si="5"/>
        <v>24</v>
      </c>
      <c r="M11" s="184">
        <f t="shared" si="5"/>
        <v>97</v>
      </c>
      <c r="N11" s="184">
        <f t="shared" si="5"/>
        <v>29</v>
      </c>
      <c r="O11" s="184">
        <f t="shared" si="5"/>
        <v>81</v>
      </c>
      <c r="P11" s="184">
        <f t="shared" si="5"/>
        <v>79</v>
      </c>
      <c r="Q11" s="184">
        <f t="shared" si="5"/>
        <v>78</v>
      </c>
      <c r="R11" s="184">
        <f t="shared" si="5"/>
        <v>60</v>
      </c>
      <c r="S11" s="184">
        <f t="shared" si="5"/>
        <v>64</v>
      </c>
      <c r="T11" s="184">
        <f t="shared" si="5"/>
        <v>21</v>
      </c>
      <c r="U11" s="184">
        <f t="shared" si="5"/>
        <v>71</v>
      </c>
      <c r="V11" s="184">
        <f t="shared" si="5"/>
        <v>49</v>
      </c>
      <c r="W11" s="184">
        <f t="shared" si="5"/>
        <v>59</v>
      </c>
      <c r="X11" s="184">
        <f t="shared" si="5"/>
        <v>53</v>
      </c>
      <c r="Y11" s="184">
        <f t="shared" si="5"/>
        <v>91</v>
      </c>
      <c r="Z11" s="184">
        <f t="shared" si="5"/>
        <v>34</v>
      </c>
      <c r="AA11" s="184">
        <f t="shared" si="5"/>
        <v>97</v>
      </c>
      <c r="AB11" s="184">
        <f t="shared" si="5"/>
        <v>3</v>
      </c>
      <c r="AC11" s="184">
        <f t="shared" si="5"/>
        <v>57</v>
      </c>
      <c r="AD11" s="184">
        <f t="shared" si="5"/>
        <v>81</v>
      </c>
      <c r="AE11" s="184">
        <f t="shared" si="5"/>
        <v>25</v>
      </c>
      <c r="AF11" s="184">
        <f t="shared" si="5"/>
        <v>55</v>
      </c>
      <c r="AG11" s="184">
        <f t="shared" si="5"/>
        <v>28</v>
      </c>
      <c r="AH11" s="184">
        <f t="shared" si="5"/>
        <v>51</v>
      </c>
      <c r="AI11" s="184">
        <f t="shared" si="5"/>
        <v>83</v>
      </c>
      <c r="AJ11" s="184">
        <f t="shared" si="5"/>
        <v>69</v>
      </c>
      <c r="AK11" s="184">
        <f t="shared" si="5"/>
        <v>30</v>
      </c>
      <c r="AL11" s="184">
        <f t="shared" si="5"/>
        <v>30</v>
      </c>
      <c r="AM11" s="184">
        <f t="shared" si="5"/>
        <v>97</v>
      </c>
      <c r="AN11" s="184">
        <f t="shared" si="5"/>
        <v>10</v>
      </c>
      <c r="AO11" s="184">
        <f t="shared" si="5"/>
        <v>10</v>
      </c>
      <c r="AP11" s="184">
        <f t="shared" si="5"/>
        <v>65</v>
      </c>
      <c r="AQ11" s="184">
        <f t="shared" si="5"/>
        <v>42</v>
      </c>
      <c r="AR11" s="184">
        <f t="shared" si="5"/>
        <v>20</v>
      </c>
      <c r="AS11" s="184">
        <f t="shared" si="5"/>
        <v>48</v>
      </c>
      <c r="AT11" s="184">
        <f t="shared" si="5"/>
        <v>36</v>
      </c>
      <c r="AU11" s="184">
        <f t="shared" si="5"/>
        <v>26</v>
      </c>
      <c r="AV11" s="184">
        <f t="shared" si="5"/>
        <v>89</v>
      </c>
      <c r="AW11" s="184">
        <f t="shared" si="5"/>
        <v>94</v>
      </c>
      <c r="AX11" s="184">
        <f t="shared" si="5"/>
        <v>49</v>
      </c>
      <c r="AY11" s="184">
        <f t="shared" si="5"/>
        <v>61</v>
      </c>
      <c r="AZ11" s="184">
        <f t="shared" si="5"/>
        <v>16</v>
      </c>
      <c r="BA11" s="184">
        <f t="shared" si="5"/>
        <v>31</v>
      </c>
      <c r="BB11" s="184">
        <f t="shared" si="5"/>
        <v>44</v>
      </c>
      <c r="BC11" s="184">
        <f t="shared" si="5"/>
        <v>35</v>
      </c>
      <c r="BD11" s="184">
        <f t="shared" si="5"/>
        <v>77</v>
      </c>
      <c r="BE11" s="184">
        <f t="shared" si="5"/>
        <v>78</v>
      </c>
      <c r="BF11" s="184">
        <f t="shared" si="5"/>
        <v>50</v>
      </c>
      <c r="BG11" s="184">
        <f t="shared" si="5"/>
        <v>30</v>
      </c>
      <c r="BH11" s="184">
        <f t="shared" si="5"/>
        <v>18</v>
      </c>
      <c r="BI11" s="184">
        <f t="shared" si="5"/>
        <v>65</v>
      </c>
      <c r="BJ11" s="184">
        <f t="shared" si="5"/>
        <v>21</v>
      </c>
      <c r="BK11" s="184">
        <f t="shared" si="5"/>
        <v>13</v>
      </c>
      <c r="BL11" s="184">
        <f t="shared" si="5"/>
        <v>61</v>
      </c>
      <c r="BM11" s="184">
        <f t="shared" si="5"/>
        <v>67</v>
      </c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</row>
    <row r="12" ht="26.25" customHeight="1">
      <c r="A12" s="1"/>
      <c r="B12" s="24" t="s">
        <v>26</v>
      </c>
      <c r="C12" s="184">
        <f t="shared" ref="C12:BM12" si="6">RANDBETWEEN(0,100)</f>
        <v>74</v>
      </c>
      <c r="D12" s="184">
        <f t="shared" si="6"/>
        <v>68</v>
      </c>
      <c r="E12" s="184">
        <f t="shared" si="6"/>
        <v>28</v>
      </c>
      <c r="F12" s="184">
        <f t="shared" si="6"/>
        <v>62</v>
      </c>
      <c r="G12" s="184">
        <f t="shared" si="6"/>
        <v>4</v>
      </c>
      <c r="H12" s="184">
        <f t="shared" si="6"/>
        <v>49</v>
      </c>
      <c r="I12" s="184">
        <f t="shared" si="6"/>
        <v>8</v>
      </c>
      <c r="J12" s="184">
        <f t="shared" si="6"/>
        <v>71</v>
      </c>
      <c r="K12" s="184">
        <f t="shared" si="6"/>
        <v>17</v>
      </c>
      <c r="L12" s="184">
        <f t="shared" si="6"/>
        <v>83</v>
      </c>
      <c r="M12" s="184">
        <f t="shared" si="6"/>
        <v>79</v>
      </c>
      <c r="N12" s="184">
        <f t="shared" si="6"/>
        <v>78</v>
      </c>
      <c r="O12" s="184">
        <f t="shared" si="6"/>
        <v>87</v>
      </c>
      <c r="P12" s="184">
        <f t="shared" si="6"/>
        <v>31</v>
      </c>
      <c r="Q12" s="184">
        <f t="shared" si="6"/>
        <v>22</v>
      </c>
      <c r="R12" s="184">
        <f t="shared" si="6"/>
        <v>7</v>
      </c>
      <c r="S12" s="184">
        <f t="shared" si="6"/>
        <v>22</v>
      </c>
      <c r="T12" s="184">
        <f t="shared" si="6"/>
        <v>50</v>
      </c>
      <c r="U12" s="184">
        <f t="shared" si="6"/>
        <v>98</v>
      </c>
      <c r="V12" s="184">
        <f t="shared" si="6"/>
        <v>64</v>
      </c>
      <c r="W12" s="184">
        <f t="shared" si="6"/>
        <v>41</v>
      </c>
      <c r="X12" s="184">
        <f t="shared" si="6"/>
        <v>62</v>
      </c>
      <c r="Y12" s="184">
        <f t="shared" si="6"/>
        <v>16</v>
      </c>
      <c r="Z12" s="184">
        <f t="shared" si="6"/>
        <v>55</v>
      </c>
      <c r="AA12" s="184">
        <f t="shared" si="6"/>
        <v>45</v>
      </c>
      <c r="AB12" s="184">
        <f t="shared" si="6"/>
        <v>54</v>
      </c>
      <c r="AC12" s="184">
        <f t="shared" si="6"/>
        <v>1</v>
      </c>
      <c r="AD12" s="184">
        <f t="shared" si="6"/>
        <v>65</v>
      </c>
      <c r="AE12" s="184">
        <f t="shared" si="6"/>
        <v>66</v>
      </c>
      <c r="AF12" s="184">
        <f t="shared" si="6"/>
        <v>60</v>
      </c>
      <c r="AG12" s="184">
        <f t="shared" si="6"/>
        <v>29</v>
      </c>
      <c r="AH12" s="184">
        <f t="shared" si="6"/>
        <v>30</v>
      </c>
      <c r="AI12" s="184">
        <f t="shared" si="6"/>
        <v>1</v>
      </c>
      <c r="AJ12" s="184">
        <f t="shared" si="6"/>
        <v>83</v>
      </c>
      <c r="AK12" s="184">
        <f t="shared" si="6"/>
        <v>65</v>
      </c>
      <c r="AL12" s="184">
        <f t="shared" si="6"/>
        <v>2</v>
      </c>
      <c r="AM12" s="184">
        <f t="shared" si="6"/>
        <v>69</v>
      </c>
      <c r="AN12" s="184">
        <f t="shared" si="6"/>
        <v>45</v>
      </c>
      <c r="AO12" s="184">
        <f t="shared" si="6"/>
        <v>45</v>
      </c>
      <c r="AP12" s="184">
        <f t="shared" si="6"/>
        <v>92</v>
      </c>
      <c r="AQ12" s="184">
        <f t="shared" si="6"/>
        <v>29</v>
      </c>
      <c r="AR12" s="184">
        <f t="shared" si="6"/>
        <v>84</v>
      </c>
      <c r="AS12" s="184">
        <f t="shared" si="6"/>
        <v>73</v>
      </c>
      <c r="AT12" s="184">
        <f t="shared" si="6"/>
        <v>27</v>
      </c>
      <c r="AU12" s="184">
        <f t="shared" si="6"/>
        <v>79</v>
      </c>
      <c r="AV12" s="184">
        <f t="shared" si="6"/>
        <v>31</v>
      </c>
      <c r="AW12" s="184">
        <f t="shared" si="6"/>
        <v>22</v>
      </c>
      <c r="AX12" s="184">
        <f t="shared" si="6"/>
        <v>73</v>
      </c>
      <c r="AY12" s="184">
        <f t="shared" si="6"/>
        <v>100</v>
      </c>
      <c r="AZ12" s="184">
        <f t="shared" si="6"/>
        <v>46</v>
      </c>
      <c r="BA12" s="184">
        <f t="shared" si="6"/>
        <v>81</v>
      </c>
      <c r="BB12" s="184">
        <f t="shared" si="6"/>
        <v>87</v>
      </c>
      <c r="BC12" s="184">
        <f t="shared" si="6"/>
        <v>21</v>
      </c>
      <c r="BD12" s="184">
        <f t="shared" si="6"/>
        <v>74</v>
      </c>
      <c r="BE12" s="184">
        <f t="shared" si="6"/>
        <v>59</v>
      </c>
      <c r="BF12" s="184">
        <f t="shared" si="6"/>
        <v>29</v>
      </c>
      <c r="BG12" s="184">
        <f t="shared" si="6"/>
        <v>30</v>
      </c>
      <c r="BH12" s="184">
        <f t="shared" si="6"/>
        <v>72</v>
      </c>
      <c r="BI12" s="184">
        <f t="shared" si="6"/>
        <v>52</v>
      </c>
      <c r="BJ12" s="184">
        <f t="shared" si="6"/>
        <v>26</v>
      </c>
      <c r="BK12" s="184">
        <f t="shared" si="6"/>
        <v>31</v>
      </c>
      <c r="BL12" s="184">
        <f t="shared" si="6"/>
        <v>20</v>
      </c>
      <c r="BM12" s="184">
        <f t="shared" si="6"/>
        <v>49</v>
      </c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</row>
    <row r="13" ht="26.25" customHeight="1">
      <c r="A13" s="1"/>
      <c r="B13" s="24" t="s">
        <v>27</v>
      </c>
      <c r="C13" s="184">
        <f t="shared" ref="C13:BM13" si="7">RANDBETWEEN(0,100)</f>
        <v>39</v>
      </c>
      <c r="D13" s="184">
        <f t="shared" si="7"/>
        <v>6</v>
      </c>
      <c r="E13" s="184">
        <f t="shared" si="7"/>
        <v>38</v>
      </c>
      <c r="F13" s="184">
        <f t="shared" si="7"/>
        <v>76</v>
      </c>
      <c r="G13" s="184">
        <f t="shared" si="7"/>
        <v>71</v>
      </c>
      <c r="H13" s="184">
        <f t="shared" si="7"/>
        <v>40</v>
      </c>
      <c r="I13" s="184">
        <f t="shared" si="7"/>
        <v>60</v>
      </c>
      <c r="J13" s="184">
        <f t="shared" si="7"/>
        <v>2</v>
      </c>
      <c r="K13" s="184">
        <f t="shared" si="7"/>
        <v>71</v>
      </c>
      <c r="L13" s="184">
        <f t="shared" si="7"/>
        <v>2</v>
      </c>
      <c r="M13" s="184">
        <f t="shared" si="7"/>
        <v>86</v>
      </c>
      <c r="N13" s="184">
        <f t="shared" si="7"/>
        <v>6</v>
      </c>
      <c r="O13" s="184">
        <f t="shared" si="7"/>
        <v>87</v>
      </c>
      <c r="P13" s="184">
        <f t="shared" si="7"/>
        <v>94</v>
      </c>
      <c r="Q13" s="184">
        <f t="shared" si="7"/>
        <v>93</v>
      </c>
      <c r="R13" s="184">
        <f t="shared" si="7"/>
        <v>48</v>
      </c>
      <c r="S13" s="184">
        <f t="shared" si="7"/>
        <v>88</v>
      </c>
      <c r="T13" s="184">
        <f t="shared" si="7"/>
        <v>74</v>
      </c>
      <c r="U13" s="184">
        <f t="shared" si="7"/>
        <v>6</v>
      </c>
      <c r="V13" s="184">
        <f t="shared" si="7"/>
        <v>72</v>
      </c>
      <c r="W13" s="184">
        <f t="shared" si="7"/>
        <v>78</v>
      </c>
      <c r="X13" s="184">
        <f t="shared" si="7"/>
        <v>29</v>
      </c>
      <c r="Y13" s="184">
        <f t="shared" si="7"/>
        <v>100</v>
      </c>
      <c r="Z13" s="184">
        <f t="shared" si="7"/>
        <v>68</v>
      </c>
      <c r="AA13" s="184">
        <f t="shared" si="7"/>
        <v>58</v>
      </c>
      <c r="AB13" s="184">
        <f t="shared" si="7"/>
        <v>8</v>
      </c>
      <c r="AC13" s="184">
        <f t="shared" si="7"/>
        <v>29</v>
      </c>
      <c r="AD13" s="184">
        <f t="shared" si="7"/>
        <v>41</v>
      </c>
      <c r="AE13" s="184">
        <f t="shared" si="7"/>
        <v>74</v>
      </c>
      <c r="AF13" s="184">
        <f t="shared" si="7"/>
        <v>59</v>
      </c>
      <c r="AG13" s="184">
        <f t="shared" si="7"/>
        <v>61</v>
      </c>
      <c r="AH13" s="184">
        <f t="shared" si="7"/>
        <v>34</v>
      </c>
      <c r="AI13" s="184">
        <f t="shared" si="7"/>
        <v>11</v>
      </c>
      <c r="AJ13" s="184">
        <f t="shared" si="7"/>
        <v>43</v>
      </c>
      <c r="AK13" s="184">
        <f t="shared" si="7"/>
        <v>58</v>
      </c>
      <c r="AL13" s="184">
        <f t="shared" si="7"/>
        <v>100</v>
      </c>
      <c r="AM13" s="184">
        <f t="shared" si="7"/>
        <v>29</v>
      </c>
      <c r="AN13" s="184">
        <f t="shared" si="7"/>
        <v>5</v>
      </c>
      <c r="AO13" s="184">
        <f t="shared" si="7"/>
        <v>24</v>
      </c>
      <c r="AP13" s="184">
        <f t="shared" si="7"/>
        <v>6</v>
      </c>
      <c r="AQ13" s="184">
        <f t="shared" si="7"/>
        <v>24</v>
      </c>
      <c r="AR13" s="184">
        <f t="shared" si="7"/>
        <v>37</v>
      </c>
      <c r="AS13" s="184">
        <f t="shared" si="7"/>
        <v>41</v>
      </c>
      <c r="AT13" s="184">
        <f t="shared" si="7"/>
        <v>37</v>
      </c>
      <c r="AU13" s="184">
        <f t="shared" si="7"/>
        <v>90</v>
      </c>
      <c r="AV13" s="184">
        <f t="shared" si="7"/>
        <v>59</v>
      </c>
      <c r="AW13" s="184">
        <f t="shared" si="7"/>
        <v>31</v>
      </c>
      <c r="AX13" s="184">
        <f t="shared" si="7"/>
        <v>1</v>
      </c>
      <c r="AY13" s="184">
        <f t="shared" si="7"/>
        <v>9</v>
      </c>
      <c r="AZ13" s="184">
        <f t="shared" si="7"/>
        <v>92</v>
      </c>
      <c r="BA13" s="184">
        <f t="shared" si="7"/>
        <v>29</v>
      </c>
      <c r="BB13" s="184">
        <f t="shared" si="7"/>
        <v>65</v>
      </c>
      <c r="BC13" s="184">
        <f t="shared" si="7"/>
        <v>82</v>
      </c>
      <c r="BD13" s="184">
        <f t="shared" si="7"/>
        <v>22</v>
      </c>
      <c r="BE13" s="184">
        <f t="shared" si="7"/>
        <v>61</v>
      </c>
      <c r="BF13" s="184">
        <f t="shared" si="7"/>
        <v>1</v>
      </c>
      <c r="BG13" s="184">
        <f t="shared" si="7"/>
        <v>86</v>
      </c>
      <c r="BH13" s="184">
        <f t="shared" si="7"/>
        <v>65</v>
      </c>
      <c r="BI13" s="184">
        <f t="shared" si="7"/>
        <v>53</v>
      </c>
      <c r="BJ13" s="184">
        <f t="shared" si="7"/>
        <v>80</v>
      </c>
      <c r="BK13" s="184">
        <f t="shared" si="7"/>
        <v>14</v>
      </c>
      <c r="BL13" s="184">
        <f t="shared" si="7"/>
        <v>71</v>
      </c>
      <c r="BM13" s="184">
        <f t="shared" si="7"/>
        <v>18</v>
      </c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</row>
    <row r="14" ht="26.25" customHeight="1">
      <c r="A14" s="1"/>
      <c r="B14" s="24" t="s">
        <v>28</v>
      </c>
      <c r="C14" s="184">
        <f t="shared" ref="C14:BM14" si="8">RANDBETWEEN(0,100)</f>
        <v>84</v>
      </c>
      <c r="D14" s="184">
        <f t="shared" si="8"/>
        <v>13</v>
      </c>
      <c r="E14" s="184">
        <f t="shared" si="8"/>
        <v>25</v>
      </c>
      <c r="F14" s="184">
        <f t="shared" si="8"/>
        <v>34</v>
      </c>
      <c r="G14" s="184">
        <f t="shared" si="8"/>
        <v>33</v>
      </c>
      <c r="H14" s="184">
        <f t="shared" si="8"/>
        <v>45</v>
      </c>
      <c r="I14" s="184">
        <f t="shared" si="8"/>
        <v>84</v>
      </c>
      <c r="J14" s="184">
        <f t="shared" si="8"/>
        <v>78</v>
      </c>
      <c r="K14" s="184">
        <f t="shared" si="8"/>
        <v>33</v>
      </c>
      <c r="L14" s="184">
        <f t="shared" si="8"/>
        <v>86</v>
      </c>
      <c r="M14" s="184">
        <f t="shared" si="8"/>
        <v>37</v>
      </c>
      <c r="N14" s="184">
        <f t="shared" si="8"/>
        <v>2</v>
      </c>
      <c r="O14" s="184">
        <f t="shared" si="8"/>
        <v>72</v>
      </c>
      <c r="P14" s="184">
        <f t="shared" si="8"/>
        <v>86</v>
      </c>
      <c r="Q14" s="184">
        <f t="shared" si="8"/>
        <v>16</v>
      </c>
      <c r="R14" s="184">
        <f t="shared" si="8"/>
        <v>74</v>
      </c>
      <c r="S14" s="184">
        <f t="shared" si="8"/>
        <v>100</v>
      </c>
      <c r="T14" s="184">
        <f t="shared" si="8"/>
        <v>11</v>
      </c>
      <c r="U14" s="184">
        <f t="shared" si="8"/>
        <v>45</v>
      </c>
      <c r="V14" s="184">
        <f t="shared" si="8"/>
        <v>19</v>
      </c>
      <c r="W14" s="184">
        <f t="shared" si="8"/>
        <v>44</v>
      </c>
      <c r="X14" s="184">
        <f t="shared" si="8"/>
        <v>69</v>
      </c>
      <c r="Y14" s="184">
        <f t="shared" si="8"/>
        <v>41</v>
      </c>
      <c r="Z14" s="184">
        <f t="shared" si="8"/>
        <v>56</v>
      </c>
      <c r="AA14" s="184">
        <f t="shared" si="8"/>
        <v>52</v>
      </c>
      <c r="AB14" s="184">
        <f t="shared" si="8"/>
        <v>59</v>
      </c>
      <c r="AC14" s="184">
        <f t="shared" si="8"/>
        <v>0</v>
      </c>
      <c r="AD14" s="184">
        <f t="shared" si="8"/>
        <v>97</v>
      </c>
      <c r="AE14" s="184">
        <f t="shared" si="8"/>
        <v>69</v>
      </c>
      <c r="AF14" s="184">
        <f t="shared" si="8"/>
        <v>43</v>
      </c>
      <c r="AG14" s="184">
        <f t="shared" si="8"/>
        <v>84</v>
      </c>
      <c r="AH14" s="184">
        <f t="shared" si="8"/>
        <v>100</v>
      </c>
      <c r="AI14" s="184">
        <f t="shared" si="8"/>
        <v>96</v>
      </c>
      <c r="AJ14" s="184">
        <f t="shared" si="8"/>
        <v>13</v>
      </c>
      <c r="AK14" s="184">
        <f t="shared" si="8"/>
        <v>59</v>
      </c>
      <c r="AL14" s="184">
        <f t="shared" si="8"/>
        <v>89</v>
      </c>
      <c r="AM14" s="184">
        <f t="shared" si="8"/>
        <v>91</v>
      </c>
      <c r="AN14" s="184">
        <f t="shared" si="8"/>
        <v>88</v>
      </c>
      <c r="AO14" s="184">
        <f t="shared" si="8"/>
        <v>83</v>
      </c>
      <c r="AP14" s="184">
        <f t="shared" si="8"/>
        <v>59</v>
      </c>
      <c r="AQ14" s="184">
        <f t="shared" si="8"/>
        <v>1</v>
      </c>
      <c r="AR14" s="184">
        <f t="shared" si="8"/>
        <v>72</v>
      </c>
      <c r="AS14" s="184">
        <f t="shared" si="8"/>
        <v>10</v>
      </c>
      <c r="AT14" s="184">
        <f t="shared" si="8"/>
        <v>43</v>
      </c>
      <c r="AU14" s="184">
        <f t="shared" si="8"/>
        <v>42</v>
      </c>
      <c r="AV14" s="184">
        <f t="shared" si="8"/>
        <v>73</v>
      </c>
      <c r="AW14" s="184">
        <f t="shared" si="8"/>
        <v>79</v>
      </c>
      <c r="AX14" s="184">
        <f t="shared" si="8"/>
        <v>8</v>
      </c>
      <c r="AY14" s="184">
        <f t="shared" si="8"/>
        <v>56</v>
      </c>
      <c r="AZ14" s="184">
        <f t="shared" si="8"/>
        <v>36</v>
      </c>
      <c r="BA14" s="184">
        <f t="shared" si="8"/>
        <v>92</v>
      </c>
      <c r="BB14" s="184">
        <f t="shared" si="8"/>
        <v>2</v>
      </c>
      <c r="BC14" s="184">
        <f t="shared" si="8"/>
        <v>30</v>
      </c>
      <c r="BD14" s="184">
        <f t="shared" si="8"/>
        <v>48</v>
      </c>
      <c r="BE14" s="184">
        <f t="shared" si="8"/>
        <v>7</v>
      </c>
      <c r="BF14" s="184">
        <f t="shared" si="8"/>
        <v>71</v>
      </c>
      <c r="BG14" s="184">
        <f t="shared" si="8"/>
        <v>51</v>
      </c>
      <c r="BH14" s="184">
        <f t="shared" si="8"/>
        <v>45</v>
      </c>
      <c r="BI14" s="184">
        <f t="shared" si="8"/>
        <v>14</v>
      </c>
      <c r="BJ14" s="184">
        <f t="shared" si="8"/>
        <v>15</v>
      </c>
      <c r="BK14" s="184">
        <f t="shared" si="8"/>
        <v>11</v>
      </c>
      <c r="BL14" s="184">
        <f t="shared" si="8"/>
        <v>84</v>
      </c>
      <c r="BM14" s="184">
        <f t="shared" si="8"/>
        <v>29</v>
      </c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</row>
    <row r="15" ht="26.25" customHeight="1">
      <c r="A15" s="1"/>
      <c r="B15" s="24" t="s">
        <v>29</v>
      </c>
      <c r="C15" s="184">
        <f t="shared" ref="C15:BM15" si="9">RANDBETWEEN(0,100)</f>
        <v>29</v>
      </c>
      <c r="D15" s="184">
        <f t="shared" si="9"/>
        <v>7</v>
      </c>
      <c r="E15" s="184">
        <f t="shared" si="9"/>
        <v>69</v>
      </c>
      <c r="F15" s="184">
        <f t="shared" si="9"/>
        <v>73</v>
      </c>
      <c r="G15" s="184">
        <f t="shared" si="9"/>
        <v>26</v>
      </c>
      <c r="H15" s="184">
        <f t="shared" si="9"/>
        <v>15</v>
      </c>
      <c r="I15" s="184">
        <f t="shared" si="9"/>
        <v>70</v>
      </c>
      <c r="J15" s="184">
        <f t="shared" si="9"/>
        <v>13</v>
      </c>
      <c r="K15" s="184">
        <f t="shared" si="9"/>
        <v>58</v>
      </c>
      <c r="L15" s="184">
        <f t="shared" si="9"/>
        <v>34</v>
      </c>
      <c r="M15" s="184">
        <f t="shared" si="9"/>
        <v>63</v>
      </c>
      <c r="N15" s="184">
        <f t="shared" si="9"/>
        <v>8</v>
      </c>
      <c r="O15" s="184">
        <f t="shared" si="9"/>
        <v>22</v>
      </c>
      <c r="P15" s="184">
        <f t="shared" si="9"/>
        <v>76</v>
      </c>
      <c r="Q15" s="184">
        <f t="shared" si="9"/>
        <v>48</v>
      </c>
      <c r="R15" s="184">
        <f t="shared" si="9"/>
        <v>38</v>
      </c>
      <c r="S15" s="184">
        <f t="shared" si="9"/>
        <v>56</v>
      </c>
      <c r="T15" s="184">
        <f t="shared" si="9"/>
        <v>26</v>
      </c>
      <c r="U15" s="184">
        <f t="shared" si="9"/>
        <v>90</v>
      </c>
      <c r="V15" s="184">
        <f t="shared" si="9"/>
        <v>52</v>
      </c>
      <c r="W15" s="184">
        <f t="shared" si="9"/>
        <v>6</v>
      </c>
      <c r="X15" s="184">
        <f t="shared" si="9"/>
        <v>28</v>
      </c>
      <c r="Y15" s="184">
        <f t="shared" si="9"/>
        <v>81</v>
      </c>
      <c r="Z15" s="184">
        <f t="shared" si="9"/>
        <v>68</v>
      </c>
      <c r="AA15" s="184">
        <f t="shared" si="9"/>
        <v>24</v>
      </c>
      <c r="AB15" s="184">
        <f t="shared" si="9"/>
        <v>65</v>
      </c>
      <c r="AC15" s="184">
        <f t="shared" si="9"/>
        <v>84</v>
      </c>
      <c r="AD15" s="184">
        <f t="shared" si="9"/>
        <v>53</v>
      </c>
      <c r="AE15" s="184">
        <f t="shared" si="9"/>
        <v>85</v>
      </c>
      <c r="AF15" s="184">
        <f t="shared" si="9"/>
        <v>69</v>
      </c>
      <c r="AG15" s="184">
        <f t="shared" si="9"/>
        <v>7</v>
      </c>
      <c r="AH15" s="184">
        <f t="shared" si="9"/>
        <v>28</v>
      </c>
      <c r="AI15" s="184">
        <f t="shared" si="9"/>
        <v>65</v>
      </c>
      <c r="AJ15" s="184">
        <f t="shared" si="9"/>
        <v>23</v>
      </c>
      <c r="AK15" s="184">
        <f t="shared" si="9"/>
        <v>44</v>
      </c>
      <c r="AL15" s="184">
        <f t="shared" si="9"/>
        <v>65</v>
      </c>
      <c r="AM15" s="184">
        <f t="shared" si="9"/>
        <v>70</v>
      </c>
      <c r="AN15" s="184">
        <f t="shared" si="9"/>
        <v>93</v>
      </c>
      <c r="AO15" s="184">
        <f t="shared" si="9"/>
        <v>72</v>
      </c>
      <c r="AP15" s="184">
        <f t="shared" si="9"/>
        <v>46</v>
      </c>
      <c r="AQ15" s="184">
        <f t="shared" si="9"/>
        <v>80</v>
      </c>
      <c r="AR15" s="184">
        <f t="shared" si="9"/>
        <v>19</v>
      </c>
      <c r="AS15" s="184">
        <f t="shared" si="9"/>
        <v>5</v>
      </c>
      <c r="AT15" s="184">
        <f t="shared" si="9"/>
        <v>17</v>
      </c>
      <c r="AU15" s="184">
        <f t="shared" si="9"/>
        <v>51</v>
      </c>
      <c r="AV15" s="184">
        <f t="shared" si="9"/>
        <v>89</v>
      </c>
      <c r="AW15" s="184">
        <f t="shared" si="9"/>
        <v>52</v>
      </c>
      <c r="AX15" s="184">
        <f t="shared" si="9"/>
        <v>54</v>
      </c>
      <c r="AY15" s="184">
        <f t="shared" si="9"/>
        <v>96</v>
      </c>
      <c r="AZ15" s="184">
        <f t="shared" si="9"/>
        <v>14</v>
      </c>
      <c r="BA15" s="184">
        <f t="shared" si="9"/>
        <v>95</v>
      </c>
      <c r="BB15" s="184">
        <f t="shared" si="9"/>
        <v>11</v>
      </c>
      <c r="BC15" s="184">
        <f t="shared" si="9"/>
        <v>29</v>
      </c>
      <c r="BD15" s="184">
        <f t="shared" si="9"/>
        <v>21</v>
      </c>
      <c r="BE15" s="184">
        <f t="shared" si="9"/>
        <v>10</v>
      </c>
      <c r="BF15" s="184">
        <f t="shared" si="9"/>
        <v>41</v>
      </c>
      <c r="BG15" s="184">
        <f t="shared" si="9"/>
        <v>60</v>
      </c>
      <c r="BH15" s="184">
        <f t="shared" si="9"/>
        <v>24</v>
      </c>
      <c r="BI15" s="184">
        <f t="shared" si="9"/>
        <v>20</v>
      </c>
      <c r="BJ15" s="184">
        <f t="shared" si="9"/>
        <v>85</v>
      </c>
      <c r="BK15" s="184">
        <f t="shared" si="9"/>
        <v>46</v>
      </c>
      <c r="BL15" s="184">
        <f t="shared" si="9"/>
        <v>27</v>
      </c>
      <c r="BM15" s="184">
        <f t="shared" si="9"/>
        <v>91</v>
      </c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</row>
    <row r="16" ht="26.25" customHeight="1">
      <c r="A16" s="1"/>
      <c r="B16" s="31" t="s">
        <v>30</v>
      </c>
      <c r="C16" s="184">
        <f t="shared" ref="C16:BM16" si="10">RANDBETWEEN(0,100)</f>
        <v>93</v>
      </c>
      <c r="D16" s="184">
        <f t="shared" si="10"/>
        <v>50</v>
      </c>
      <c r="E16" s="184">
        <f t="shared" si="10"/>
        <v>79</v>
      </c>
      <c r="F16" s="184">
        <f t="shared" si="10"/>
        <v>91</v>
      </c>
      <c r="G16" s="184">
        <f t="shared" si="10"/>
        <v>48</v>
      </c>
      <c r="H16" s="184">
        <f t="shared" si="10"/>
        <v>95</v>
      </c>
      <c r="I16" s="184">
        <f t="shared" si="10"/>
        <v>25</v>
      </c>
      <c r="J16" s="184">
        <f t="shared" si="10"/>
        <v>40</v>
      </c>
      <c r="K16" s="184">
        <f t="shared" si="10"/>
        <v>48</v>
      </c>
      <c r="L16" s="184">
        <f t="shared" si="10"/>
        <v>79</v>
      </c>
      <c r="M16" s="184">
        <f t="shared" si="10"/>
        <v>80</v>
      </c>
      <c r="N16" s="184">
        <f t="shared" si="10"/>
        <v>83</v>
      </c>
      <c r="O16" s="184">
        <f t="shared" si="10"/>
        <v>35</v>
      </c>
      <c r="P16" s="184">
        <f t="shared" si="10"/>
        <v>45</v>
      </c>
      <c r="Q16" s="184">
        <f t="shared" si="10"/>
        <v>31</v>
      </c>
      <c r="R16" s="184">
        <f t="shared" si="10"/>
        <v>45</v>
      </c>
      <c r="S16" s="184">
        <f t="shared" si="10"/>
        <v>34</v>
      </c>
      <c r="T16" s="184">
        <f t="shared" si="10"/>
        <v>100</v>
      </c>
      <c r="U16" s="184">
        <f t="shared" si="10"/>
        <v>9</v>
      </c>
      <c r="V16" s="184">
        <f t="shared" si="10"/>
        <v>77</v>
      </c>
      <c r="W16" s="184">
        <f t="shared" si="10"/>
        <v>84</v>
      </c>
      <c r="X16" s="184">
        <f t="shared" si="10"/>
        <v>84</v>
      </c>
      <c r="Y16" s="184">
        <f t="shared" si="10"/>
        <v>57</v>
      </c>
      <c r="Z16" s="184">
        <f t="shared" si="10"/>
        <v>16</v>
      </c>
      <c r="AA16" s="184">
        <f t="shared" si="10"/>
        <v>91</v>
      </c>
      <c r="AB16" s="184">
        <f t="shared" si="10"/>
        <v>64</v>
      </c>
      <c r="AC16" s="184">
        <f t="shared" si="10"/>
        <v>97</v>
      </c>
      <c r="AD16" s="184">
        <f t="shared" si="10"/>
        <v>93</v>
      </c>
      <c r="AE16" s="184">
        <f t="shared" si="10"/>
        <v>44</v>
      </c>
      <c r="AF16" s="184">
        <f t="shared" si="10"/>
        <v>67</v>
      </c>
      <c r="AG16" s="184">
        <f t="shared" si="10"/>
        <v>41</v>
      </c>
      <c r="AH16" s="184">
        <f t="shared" si="10"/>
        <v>55</v>
      </c>
      <c r="AI16" s="184">
        <f t="shared" si="10"/>
        <v>69</v>
      </c>
      <c r="AJ16" s="184">
        <f t="shared" si="10"/>
        <v>55</v>
      </c>
      <c r="AK16" s="184">
        <f t="shared" si="10"/>
        <v>32</v>
      </c>
      <c r="AL16" s="184">
        <f t="shared" si="10"/>
        <v>98</v>
      </c>
      <c r="AM16" s="184">
        <f t="shared" si="10"/>
        <v>5</v>
      </c>
      <c r="AN16" s="184">
        <f t="shared" si="10"/>
        <v>21</v>
      </c>
      <c r="AO16" s="184">
        <f t="shared" si="10"/>
        <v>21</v>
      </c>
      <c r="AP16" s="184">
        <f t="shared" si="10"/>
        <v>14</v>
      </c>
      <c r="AQ16" s="184">
        <f t="shared" si="10"/>
        <v>45</v>
      </c>
      <c r="AR16" s="184">
        <f t="shared" si="10"/>
        <v>63</v>
      </c>
      <c r="AS16" s="184">
        <f t="shared" si="10"/>
        <v>19</v>
      </c>
      <c r="AT16" s="184">
        <f t="shared" si="10"/>
        <v>94</v>
      </c>
      <c r="AU16" s="184">
        <f t="shared" si="10"/>
        <v>60</v>
      </c>
      <c r="AV16" s="184">
        <f t="shared" si="10"/>
        <v>51</v>
      </c>
      <c r="AW16" s="184">
        <f t="shared" si="10"/>
        <v>77</v>
      </c>
      <c r="AX16" s="184">
        <f t="shared" si="10"/>
        <v>63</v>
      </c>
      <c r="AY16" s="184">
        <f t="shared" si="10"/>
        <v>2</v>
      </c>
      <c r="AZ16" s="184">
        <f t="shared" si="10"/>
        <v>2</v>
      </c>
      <c r="BA16" s="184">
        <f t="shared" si="10"/>
        <v>71</v>
      </c>
      <c r="BB16" s="184">
        <f t="shared" si="10"/>
        <v>13</v>
      </c>
      <c r="BC16" s="184">
        <f t="shared" si="10"/>
        <v>66</v>
      </c>
      <c r="BD16" s="184">
        <f t="shared" si="10"/>
        <v>31</v>
      </c>
      <c r="BE16" s="184">
        <f t="shared" si="10"/>
        <v>24</v>
      </c>
      <c r="BF16" s="184">
        <f t="shared" si="10"/>
        <v>81</v>
      </c>
      <c r="BG16" s="184">
        <f t="shared" si="10"/>
        <v>30</v>
      </c>
      <c r="BH16" s="184">
        <f t="shared" si="10"/>
        <v>31</v>
      </c>
      <c r="BI16" s="184">
        <f t="shared" si="10"/>
        <v>66</v>
      </c>
      <c r="BJ16" s="184">
        <f t="shared" si="10"/>
        <v>71</v>
      </c>
      <c r="BK16" s="184">
        <f t="shared" si="10"/>
        <v>40</v>
      </c>
      <c r="BL16" s="184">
        <f t="shared" si="10"/>
        <v>14</v>
      </c>
      <c r="BM16" s="184">
        <f t="shared" si="10"/>
        <v>14</v>
      </c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</row>
    <row r="17" ht="26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</row>
    <row r="18" ht="26.25" customHeight="1">
      <c r="A18" s="1"/>
      <c r="B18" s="15" t="s">
        <v>31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4"/>
    </row>
    <row r="19" ht="26.25" customHeight="1">
      <c r="A19" s="35"/>
      <c r="B19" s="16" t="s">
        <v>32</v>
      </c>
      <c r="C19" s="36" t="s">
        <v>33</v>
      </c>
      <c r="D19" s="37" t="s">
        <v>34</v>
      </c>
      <c r="E19" s="36" t="s">
        <v>35</v>
      </c>
      <c r="F19" s="37" t="s">
        <v>36</v>
      </c>
      <c r="G19" s="36" t="s">
        <v>37</v>
      </c>
      <c r="H19" s="37" t="s">
        <v>38</v>
      </c>
      <c r="I19" s="36" t="s">
        <v>39</v>
      </c>
      <c r="J19" s="37" t="s">
        <v>40</v>
      </c>
      <c r="K19" s="36" t="s">
        <v>41</v>
      </c>
      <c r="L19" s="37" t="s">
        <v>42</v>
      </c>
      <c r="M19" s="36" t="s">
        <v>43</v>
      </c>
      <c r="N19" s="37" t="s">
        <v>44</v>
      </c>
      <c r="O19" s="38" t="s">
        <v>45</v>
      </c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6" t="s">
        <v>33</v>
      </c>
      <c r="BQ19" s="37" t="s">
        <v>34</v>
      </c>
      <c r="BR19" s="36" t="s">
        <v>35</v>
      </c>
      <c r="BS19" s="37" t="s">
        <v>36</v>
      </c>
      <c r="BT19" s="36" t="s">
        <v>37</v>
      </c>
      <c r="BU19" s="37" t="s">
        <v>38</v>
      </c>
      <c r="BV19" s="36" t="s">
        <v>39</v>
      </c>
      <c r="BW19" s="37" t="s">
        <v>40</v>
      </c>
      <c r="BX19" s="36" t="s">
        <v>41</v>
      </c>
      <c r="BY19" s="37" t="s">
        <v>42</v>
      </c>
      <c r="BZ19" s="36" t="s">
        <v>43</v>
      </c>
      <c r="CA19" s="37" t="s">
        <v>44</v>
      </c>
      <c r="CB19" s="38" t="s">
        <v>45</v>
      </c>
      <c r="CC19" s="35"/>
    </row>
    <row r="20" ht="26.25" customHeight="1">
      <c r="A20" s="1"/>
      <c r="B20" s="39" t="s">
        <v>20</v>
      </c>
      <c r="C20" s="185">
        <f t="shared" ref="C20:N20" si="11">RANDBETWEEN(-20000,0)</f>
        <v>-9276</v>
      </c>
      <c r="D20" s="185">
        <f t="shared" si="11"/>
        <v>-6529</v>
      </c>
      <c r="E20" s="185">
        <f t="shared" si="11"/>
        <v>-3353</v>
      </c>
      <c r="F20" s="185">
        <f t="shared" si="11"/>
        <v>-8989</v>
      </c>
      <c r="G20" s="185">
        <f t="shared" si="11"/>
        <v>-14200</v>
      </c>
      <c r="H20" s="185">
        <f t="shared" si="11"/>
        <v>-2848</v>
      </c>
      <c r="I20" s="185">
        <f t="shared" si="11"/>
        <v>-14186</v>
      </c>
      <c r="J20" s="185">
        <f t="shared" si="11"/>
        <v>-673</v>
      </c>
      <c r="K20" s="185">
        <f t="shared" si="11"/>
        <v>-3263</v>
      </c>
      <c r="L20" s="185">
        <f t="shared" si="11"/>
        <v>-1416</v>
      </c>
      <c r="M20" s="185">
        <f t="shared" si="11"/>
        <v>-11354</v>
      </c>
      <c r="N20" s="185">
        <f t="shared" si="11"/>
        <v>-10842</v>
      </c>
      <c r="O20" s="186">
        <f t="shared" ref="O20:O27" si="13">SUM(C20:N20)</f>
        <v>-86929</v>
      </c>
      <c r="P20" s="42"/>
      <c r="Q20" s="42"/>
      <c r="R20" s="42"/>
      <c r="S20" s="42"/>
      <c r="T20" s="42"/>
      <c r="U20" s="42"/>
      <c r="V20" s="42"/>
      <c r="W20" s="42"/>
      <c r="X20" s="42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87"/>
      <c r="BQ20" s="187"/>
      <c r="BR20" s="187"/>
      <c r="BS20" s="187"/>
      <c r="BT20" s="187"/>
      <c r="BU20" s="187"/>
      <c r="BV20" s="187"/>
      <c r="BW20" s="187"/>
      <c r="BX20" s="187"/>
      <c r="BY20" s="187"/>
      <c r="BZ20" s="187"/>
      <c r="CA20" s="187"/>
      <c r="CB20" s="41"/>
      <c r="CC20" s="1"/>
    </row>
    <row r="21" ht="26.25" customHeight="1">
      <c r="A21" s="1"/>
      <c r="B21" s="39" t="s">
        <v>20</v>
      </c>
      <c r="C21" s="188">
        <f t="shared" ref="C21:N21" si="12">RANDBETWEEN(1500000,3000000)</f>
        <v>1521974</v>
      </c>
      <c r="D21" s="188">
        <f t="shared" si="12"/>
        <v>2327523</v>
      </c>
      <c r="E21" s="188">
        <f t="shared" si="12"/>
        <v>2657711</v>
      </c>
      <c r="F21" s="188">
        <f t="shared" si="12"/>
        <v>2420917</v>
      </c>
      <c r="G21" s="188">
        <f t="shared" si="12"/>
        <v>1947768</v>
      </c>
      <c r="H21" s="188">
        <f t="shared" si="12"/>
        <v>2230661</v>
      </c>
      <c r="I21" s="188">
        <f t="shared" si="12"/>
        <v>2845906</v>
      </c>
      <c r="J21" s="188">
        <f t="shared" si="12"/>
        <v>2917434</v>
      </c>
      <c r="K21" s="188">
        <f t="shared" si="12"/>
        <v>2549933</v>
      </c>
      <c r="L21" s="188">
        <f t="shared" si="12"/>
        <v>2246569</v>
      </c>
      <c r="M21" s="188">
        <f t="shared" si="12"/>
        <v>1800414</v>
      </c>
      <c r="N21" s="188">
        <f t="shared" si="12"/>
        <v>1695776</v>
      </c>
      <c r="O21" s="186">
        <f t="shared" si="13"/>
        <v>27162586</v>
      </c>
      <c r="P21" s="42"/>
      <c r="Q21" s="42"/>
      <c r="R21" s="42"/>
      <c r="S21" s="42"/>
      <c r="T21" s="42"/>
      <c r="U21" s="42"/>
      <c r="V21" s="42"/>
      <c r="W21" s="42"/>
      <c r="X21" s="42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87"/>
      <c r="BQ21" s="187"/>
      <c r="BR21" s="187"/>
      <c r="BS21" s="187"/>
      <c r="BT21" s="187"/>
      <c r="BU21" s="187"/>
      <c r="BV21" s="187"/>
      <c r="BW21" s="187"/>
      <c r="BX21" s="187"/>
      <c r="BY21" s="187"/>
      <c r="BZ21" s="187"/>
      <c r="CA21" s="187"/>
      <c r="CB21" s="41">
        <f t="shared" ref="CB21:CB26" si="15">SUM(BP21:CA21)</f>
        <v>0</v>
      </c>
      <c r="CC21" s="1"/>
    </row>
    <row r="22" ht="26.25" customHeight="1">
      <c r="A22" s="1"/>
      <c r="B22" s="39" t="s">
        <v>20</v>
      </c>
      <c r="C22" s="189">
        <f t="shared" ref="C22:N22" si="14">RANDBETWEEN(-15000,0)</f>
        <v>-14769</v>
      </c>
      <c r="D22" s="189">
        <f t="shared" si="14"/>
        <v>-4960</v>
      </c>
      <c r="E22" s="189">
        <f t="shared" si="14"/>
        <v>-9157</v>
      </c>
      <c r="F22" s="189">
        <f t="shared" si="14"/>
        <v>-14021</v>
      </c>
      <c r="G22" s="189">
        <f t="shared" si="14"/>
        <v>-13002</v>
      </c>
      <c r="H22" s="189">
        <f t="shared" si="14"/>
        <v>-289</v>
      </c>
      <c r="I22" s="189">
        <f t="shared" si="14"/>
        <v>-1106</v>
      </c>
      <c r="J22" s="189">
        <f t="shared" si="14"/>
        <v>-4925</v>
      </c>
      <c r="K22" s="189">
        <f t="shared" si="14"/>
        <v>-10410</v>
      </c>
      <c r="L22" s="189">
        <f t="shared" si="14"/>
        <v>-1439</v>
      </c>
      <c r="M22" s="189">
        <f t="shared" si="14"/>
        <v>-4200</v>
      </c>
      <c r="N22" s="189">
        <f t="shared" si="14"/>
        <v>-14806</v>
      </c>
      <c r="O22" s="186">
        <f t="shared" si="13"/>
        <v>-93084</v>
      </c>
      <c r="P22" s="42"/>
      <c r="Q22" s="42"/>
      <c r="R22" s="42"/>
      <c r="S22" s="42"/>
      <c r="T22" s="42"/>
      <c r="U22" s="42"/>
      <c r="V22" s="42"/>
      <c r="W22" s="42"/>
      <c r="X22" s="42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1">
        <f t="shared" si="15"/>
        <v>0</v>
      </c>
      <c r="CC22" s="1"/>
    </row>
    <row r="23" ht="26.25" customHeight="1">
      <c r="A23" s="1"/>
      <c r="B23" s="39" t="s">
        <v>20</v>
      </c>
      <c r="C23" s="189">
        <f t="shared" ref="C23:N23" si="16">RANDBETWEEN(-15000,0)</f>
        <v>-9344</v>
      </c>
      <c r="D23" s="189">
        <f t="shared" si="16"/>
        <v>-1735</v>
      </c>
      <c r="E23" s="189">
        <f t="shared" si="16"/>
        <v>-13180</v>
      </c>
      <c r="F23" s="189">
        <f t="shared" si="16"/>
        <v>-4945</v>
      </c>
      <c r="G23" s="189">
        <f t="shared" si="16"/>
        <v>-13952</v>
      </c>
      <c r="H23" s="189">
        <f t="shared" si="16"/>
        <v>-2000</v>
      </c>
      <c r="I23" s="189">
        <f t="shared" si="16"/>
        <v>-5778</v>
      </c>
      <c r="J23" s="189">
        <f t="shared" si="16"/>
        <v>-6062</v>
      </c>
      <c r="K23" s="189">
        <f t="shared" si="16"/>
        <v>-13599</v>
      </c>
      <c r="L23" s="189">
        <f t="shared" si="16"/>
        <v>-1750</v>
      </c>
      <c r="M23" s="189">
        <f t="shared" si="16"/>
        <v>-10620</v>
      </c>
      <c r="N23" s="189">
        <f t="shared" si="16"/>
        <v>-5357</v>
      </c>
      <c r="O23" s="186">
        <f t="shared" si="13"/>
        <v>-88322</v>
      </c>
      <c r="P23" s="42"/>
      <c r="Q23" s="42"/>
      <c r="R23" s="42"/>
      <c r="S23" s="42"/>
      <c r="T23" s="42"/>
      <c r="U23" s="42"/>
      <c r="V23" s="42"/>
      <c r="W23" s="42"/>
      <c r="X23" s="42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1">
        <f t="shared" si="15"/>
        <v>0</v>
      </c>
      <c r="CC23" s="1"/>
    </row>
    <row r="24" ht="26.25" customHeight="1">
      <c r="A24" s="1"/>
      <c r="B24" s="39" t="s">
        <v>20</v>
      </c>
      <c r="C24" s="189">
        <f t="shared" ref="C24:N24" si="17">RANDBETWEEN(-15000,0)</f>
        <v>-9035</v>
      </c>
      <c r="D24" s="189">
        <f t="shared" si="17"/>
        <v>-10180</v>
      </c>
      <c r="E24" s="189">
        <f t="shared" si="17"/>
        <v>-451</v>
      </c>
      <c r="F24" s="189">
        <f t="shared" si="17"/>
        <v>-2697</v>
      </c>
      <c r="G24" s="189">
        <f t="shared" si="17"/>
        <v>-2966</v>
      </c>
      <c r="H24" s="189">
        <f t="shared" si="17"/>
        <v>-13075</v>
      </c>
      <c r="I24" s="189">
        <f t="shared" si="17"/>
        <v>-3505</v>
      </c>
      <c r="J24" s="189">
        <f t="shared" si="17"/>
        <v>-7761</v>
      </c>
      <c r="K24" s="189">
        <f t="shared" si="17"/>
        <v>-2173</v>
      </c>
      <c r="L24" s="189">
        <f t="shared" si="17"/>
        <v>-10234</v>
      </c>
      <c r="M24" s="189">
        <f t="shared" si="17"/>
        <v>-3325</v>
      </c>
      <c r="N24" s="189">
        <f t="shared" si="17"/>
        <v>-6853</v>
      </c>
      <c r="O24" s="186">
        <f t="shared" si="13"/>
        <v>-72255</v>
      </c>
      <c r="P24" s="42"/>
      <c r="Q24" s="42"/>
      <c r="R24" s="42"/>
      <c r="S24" s="42"/>
      <c r="T24" s="42"/>
      <c r="U24" s="42"/>
      <c r="V24" s="42"/>
      <c r="W24" s="42"/>
      <c r="X24" s="42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90"/>
      <c r="BQ24" s="190"/>
      <c r="BR24" s="190"/>
      <c r="BS24" s="190"/>
      <c r="BT24" s="190"/>
      <c r="BU24" s="190"/>
      <c r="BV24" s="190"/>
      <c r="BW24" s="190"/>
      <c r="BX24" s="190"/>
      <c r="BY24" s="190"/>
      <c r="BZ24" s="190"/>
      <c r="CA24" s="190"/>
      <c r="CB24" s="41">
        <f t="shared" si="15"/>
        <v>0</v>
      </c>
      <c r="CC24" s="1"/>
    </row>
    <row r="25" ht="26.25" customHeight="1">
      <c r="A25" s="1"/>
      <c r="B25" s="39" t="s">
        <v>20</v>
      </c>
      <c r="C25" s="191"/>
      <c r="D25" s="191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86">
        <f t="shared" si="13"/>
        <v>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1">
        <f t="shared" si="15"/>
        <v>0</v>
      </c>
      <c r="CC25" s="1"/>
    </row>
    <row r="26" ht="26.25" customHeight="1">
      <c r="A26" s="1"/>
      <c r="B26" s="39" t="s">
        <v>20</v>
      </c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86">
        <f t="shared" si="13"/>
        <v>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1">
        <f t="shared" si="15"/>
        <v>0</v>
      </c>
      <c r="CC26" s="1"/>
    </row>
    <row r="27" ht="26.25" customHeight="1">
      <c r="A27" s="1"/>
      <c r="B27" s="39" t="s">
        <v>20</v>
      </c>
      <c r="C27" s="192">
        <f t="shared" ref="C27:N27" si="18">RANDBETWEEN(0,10)</f>
        <v>7</v>
      </c>
      <c r="D27" s="192">
        <f t="shared" si="18"/>
        <v>10</v>
      </c>
      <c r="E27" s="192">
        <f t="shared" si="18"/>
        <v>8</v>
      </c>
      <c r="F27" s="192">
        <f t="shared" si="18"/>
        <v>5</v>
      </c>
      <c r="G27" s="192">
        <f t="shared" si="18"/>
        <v>9</v>
      </c>
      <c r="H27" s="192">
        <f t="shared" si="18"/>
        <v>0</v>
      </c>
      <c r="I27" s="192">
        <f t="shared" si="18"/>
        <v>9</v>
      </c>
      <c r="J27" s="192">
        <f t="shared" si="18"/>
        <v>9</v>
      </c>
      <c r="K27" s="192">
        <f t="shared" si="18"/>
        <v>3</v>
      </c>
      <c r="L27" s="192">
        <f t="shared" si="18"/>
        <v>4</v>
      </c>
      <c r="M27" s="192">
        <f t="shared" si="18"/>
        <v>3</v>
      </c>
      <c r="N27" s="192">
        <f t="shared" si="18"/>
        <v>7</v>
      </c>
      <c r="O27" s="193">
        <f t="shared" si="13"/>
        <v>74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194"/>
      <c r="CC27" s="1"/>
    </row>
    <row r="28" ht="26.25" customHeight="1">
      <c r="A28" s="1"/>
      <c r="B28" s="39" t="s">
        <v>20</v>
      </c>
      <c r="C28" s="195">
        <f t="shared" ref="C28:N28" si="19">RANDBETWEEN(0,1)</f>
        <v>1</v>
      </c>
      <c r="D28" s="195">
        <f t="shared" si="19"/>
        <v>0</v>
      </c>
      <c r="E28" s="195">
        <f t="shared" si="19"/>
        <v>0</v>
      </c>
      <c r="F28" s="195">
        <f t="shared" si="19"/>
        <v>1</v>
      </c>
      <c r="G28" s="195">
        <f t="shared" si="19"/>
        <v>1</v>
      </c>
      <c r="H28" s="195">
        <f t="shared" si="19"/>
        <v>1</v>
      </c>
      <c r="I28" s="195">
        <f t="shared" si="19"/>
        <v>0</v>
      </c>
      <c r="J28" s="195">
        <f t="shared" si="19"/>
        <v>1</v>
      </c>
      <c r="K28" s="195">
        <f t="shared" si="19"/>
        <v>1</v>
      </c>
      <c r="L28" s="195">
        <f t="shared" si="19"/>
        <v>1</v>
      </c>
      <c r="M28" s="195">
        <f t="shared" si="19"/>
        <v>0</v>
      </c>
      <c r="N28" s="195">
        <f t="shared" si="19"/>
        <v>1</v>
      </c>
      <c r="O28" s="196">
        <f t="shared" ref="O28:O32" si="21">AVERAGE(C28:N28)</f>
        <v>0.6666666667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97"/>
      <c r="BQ28" s="197"/>
      <c r="BR28" s="197"/>
      <c r="BS28" s="197"/>
      <c r="BT28" s="197"/>
      <c r="BU28" s="197"/>
      <c r="BV28" s="197"/>
      <c r="BW28" s="197"/>
      <c r="BX28" s="197"/>
      <c r="BY28" s="197"/>
      <c r="BZ28" s="197"/>
      <c r="CA28" s="197"/>
      <c r="CB28" s="194"/>
      <c r="CC28" s="1"/>
    </row>
    <row r="29" ht="26.25" customHeight="1">
      <c r="A29" s="1"/>
      <c r="B29" s="39" t="s">
        <v>20</v>
      </c>
      <c r="C29" s="195">
        <f t="shared" ref="C29:N29" si="20">RAND()</f>
        <v>0.3650410495</v>
      </c>
      <c r="D29" s="195">
        <f t="shared" si="20"/>
        <v>0.157005358</v>
      </c>
      <c r="E29" s="195">
        <f t="shared" si="20"/>
        <v>0.3078198161</v>
      </c>
      <c r="F29" s="195">
        <f t="shared" si="20"/>
        <v>0.7444188675</v>
      </c>
      <c r="G29" s="195">
        <f t="shared" si="20"/>
        <v>0.06336246232</v>
      </c>
      <c r="H29" s="195">
        <f t="shared" si="20"/>
        <v>0.02196226615</v>
      </c>
      <c r="I29" s="195">
        <f t="shared" si="20"/>
        <v>0.5799612074</v>
      </c>
      <c r="J29" s="195">
        <f t="shared" si="20"/>
        <v>0.3370885953</v>
      </c>
      <c r="K29" s="195">
        <f t="shared" si="20"/>
        <v>0.1378731726</v>
      </c>
      <c r="L29" s="195">
        <f t="shared" si="20"/>
        <v>0.8201474227</v>
      </c>
      <c r="M29" s="195">
        <f t="shared" si="20"/>
        <v>0.7093214068</v>
      </c>
      <c r="N29" s="195">
        <f t="shared" si="20"/>
        <v>0.4452188578</v>
      </c>
      <c r="O29" s="196">
        <f t="shared" si="21"/>
        <v>0.3907683735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97"/>
      <c r="BQ29" s="197"/>
      <c r="BR29" s="197"/>
      <c r="BS29" s="197"/>
      <c r="BT29" s="197"/>
      <c r="BU29" s="197"/>
      <c r="BV29" s="197"/>
      <c r="BW29" s="197"/>
      <c r="BX29" s="197"/>
      <c r="BY29" s="197"/>
      <c r="BZ29" s="197"/>
      <c r="CA29" s="197"/>
      <c r="CB29" s="194"/>
      <c r="CC29" s="1"/>
    </row>
    <row r="30" ht="26.25" customHeight="1">
      <c r="A30" s="1"/>
      <c r="B30" s="39" t="s">
        <v>20</v>
      </c>
      <c r="C30" s="195">
        <f t="shared" ref="C30:N30" si="22">RAND()</f>
        <v>0.5269328315</v>
      </c>
      <c r="D30" s="195">
        <f t="shared" si="22"/>
        <v>0.1154705117</v>
      </c>
      <c r="E30" s="195">
        <f t="shared" si="22"/>
        <v>0.8134371135</v>
      </c>
      <c r="F30" s="195">
        <f t="shared" si="22"/>
        <v>0.210307323</v>
      </c>
      <c r="G30" s="195">
        <f t="shared" si="22"/>
        <v>0.4490094651</v>
      </c>
      <c r="H30" s="195">
        <f t="shared" si="22"/>
        <v>0.6415954223</v>
      </c>
      <c r="I30" s="195">
        <f t="shared" si="22"/>
        <v>0.6033028621</v>
      </c>
      <c r="J30" s="195">
        <f t="shared" si="22"/>
        <v>0.1891275356</v>
      </c>
      <c r="K30" s="195">
        <f t="shared" si="22"/>
        <v>0.4661842126</v>
      </c>
      <c r="L30" s="195">
        <f t="shared" si="22"/>
        <v>0.4171755443</v>
      </c>
      <c r="M30" s="195">
        <f t="shared" si="22"/>
        <v>0.2133700509</v>
      </c>
      <c r="N30" s="195">
        <f t="shared" si="22"/>
        <v>0.3596546259</v>
      </c>
      <c r="O30" s="196">
        <f t="shared" si="21"/>
        <v>0.4171306249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97"/>
      <c r="BQ30" s="197"/>
      <c r="BR30" s="197"/>
      <c r="BS30" s="197"/>
      <c r="BT30" s="197"/>
      <c r="BU30" s="197"/>
      <c r="BV30" s="197"/>
      <c r="BW30" s="197"/>
      <c r="BX30" s="197"/>
      <c r="BY30" s="197"/>
      <c r="BZ30" s="197"/>
      <c r="CA30" s="197"/>
      <c r="CB30" s="194"/>
      <c r="CC30" s="1"/>
    </row>
    <row r="31" ht="26.25" customHeight="1">
      <c r="A31" s="1"/>
      <c r="B31" s="39" t="s">
        <v>20</v>
      </c>
      <c r="C31" s="195">
        <f t="shared" ref="C31:N31" si="23">RAND()</f>
        <v>0.8598447132</v>
      </c>
      <c r="D31" s="195">
        <f t="shared" si="23"/>
        <v>0.2966996625</v>
      </c>
      <c r="E31" s="195">
        <f t="shared" si="23"/>
        <v>0.3693631743</v>
      </c>
      <c r="F31" s="195">
        <f t="shared" si="23"/>
        <v>0.2397727399</v>
      </c>
      <c r="G31" s="195">
        <f t="shared" si="23"/>
        <v>0.6023304236</v>
      </c>
      <c r="H31" s="195">
        <f t="shared" si="23"/>
        <v>0.7117405812</v>
      </c>
      <c r="I31" s="195">
        <f t="shared" si="23"/>
        <v>0.7703726062</v>
      </c>
      <c r="J31" s="195">
        <f t="shared" si="23"/>
        <v>0.3481802801</v>
      </c>
      <c r="K31" s="195">
        <f t="shared" si="23"/>
        <v>0.02368538711</v>
      </c>
      <c r="L31" s="195">
        <f t="shared" si="23"/>
        <v>0.7709936269</v>
      </c>
      <c r="M31" s="195">
        <f t="shared" si="23"/>
        <v>0.9324812607</v>
      </c>
      <c r="N31" s="195">
        <f t="shared" si="23"/>
        <v>0.6137735131</v>
      </c>
      <c r="O31" s="196">
        <f t="shared" si="21"/>
        <v>0.5449364974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98"/>
      <c r="BQ31" s="198"/>
      <c r="BR31" s="198"/>
      <c r="BS31" s="198"/>
      <c r="BT31" s="198"/>
      <c r="BU31" s="198"/>
      <c r="BV31" s="198"/>
      <c r="BW31" s="198"/>
      <c r="BX31" s="198"/>
      <c r="BY31" s="198"/>
      <c r="BZ31" s="198"/>
      <c r="CA31" s="198"/>
      <c r="CB31" s="194"/>
      <c r="CC31" s="1"/>
    </row>
    <row r="32" ht="26.25" customHeight="1">
      <c r="A32" s="1"/>
      <c r="B32" s="51" t="s">
        <v>20</v>
      </c>
      <c r="C32" s="199">
        <f t="shared" ref="C32:N32" si="24">RANDBETWEEN(0,100)</f>
        <v>37</v>
      </c>
      <c r="D32" s="199">
        <f t="shared" si="24"/>
        <v>51</v>
      </c>
      <c r="E32" s="199">
        <f t="shared" si="24"/>
        <v>63</v>
      </c>
      <c r="F32" s="199">
        <f t="shared" si="24"/>
        <v>6</v>
      </c>
      <c r="G32" s="199">
        <f t="shared" si="24"/>
        <v>85</v>
      </c>
      <c r="H32" s="199">
        <f t="shared" si="24"/>
        <v>99</v>
      </c>
      <c r="I32" s="199">
        <f t="shared" si="24"/>
        <v>49</v>
      </c>
      <c r="J32" s="199">
        <f t="shared" si="24"/>
        <v>21</v>
      </c>
      <c r="K32" s="199">
        <f t="shared" si="24"/>
        <v>49</v>
      </c>
      <c r="L32" s="199">
        <f t="shared" si="24"/>
        <v>97</v>
      </c>
      <c r="M32" s="199">
        <f t="shared" si="24"/>
        <v>88</v>
      </c>
      <c r="N32" s="199">
        <f t="shared" si="24"/>
        <v>86</v>
      </c>
      <c r="O32" s="193">
        <f t="shared" si="21"/>
        <v>60.91666667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200"/>
      <c r="BQ32" s="200"/>
      <c r="BR32" s="200"/>
      <c r="BS32" s="200"/>
      <c r="BT32" s="200"/>
      <c r="BU32" s="200"/>
      <c r="BV32" s="200"/>
      <c r="BW32" s="200"/>
      <c r="BX32" s="200"/>
      <c r="BY32" s="200"/>
      <c r="BZ32" s="200"/>
      <c r="CA32" s="200"/>
      <c r="CB32" s="201"/>
      <c r="CC32" s="1"/>
    </row>
    <row r="33" ht="26.25" customHeight="1">
      <c r="A33" s="35"/>
      <c r="B33" s="54" t="s">
        <v>46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4"/>
      <c r="CC33" s="35"/>
    </row>
    <row r="34" ht="26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</row>
    <row r="35" ht="26.25" customHeight="1">
      <c r="A35" s="35"/>
      <c r="B35" s="15" t="s">
        <v>166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4"/>
    </row>
    <row r="36" ht="26.25" customHeight="1">
      <c r="A36" s="35"/>
      <c r="B36" s="55" t="s">
        <v>48</v>
      </c>
      <c r="C36" s="18"/>
      <c r="D36" s="56"/>
      <c r="E36" s="55" t="s">
        <v>49</v>
      </c>
      <c r="F36" s="18"/>
      <c r="G36" s="56"/>
      <c r="H36" s="55" t="s">
        <v>50</v>
      </c>
      <c r="I36" s="18"/>
      <c r="J36" s="56"/>
      <c r="K36" s="55" t="s">
        <v>51</v>
      </c>
      <c r="L36" s="18"/>
      <c r="M36" s="56"/>
      <c r="N36" s="55" t="s">
        <v>52</v>
      </c>
      <c r="O36" s="18"/>
      <c r="P36" s="56"/>
      <c r="Q36" s="55" t="s">
        <v>167</v>
      </c>
      <c r="R36" s="18"/>
      <c r="S36" s="56"/>
      <c r="T36" s="55" t="s">
        <v>168</v>
      </c>
      <c r="U36" s="18"/>
      <c r="V36" s="56"/>
      <c r="W36" s="55" t="s">
        <v>169</v>
      </c>
      <c r="X36" s="18"/>
      <c r="Y36" s="56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6" t="s">
        <v>33</v>
      </c>
      <c r="BQ36" s="37" t="s">
        <v>34</v>
      </c>
      <c r="BR36" s="36" t="s">
        <v>35</v>
      </c>
      <c r="BS36" s="37" t="s">
        <v>36</v>
      </c>
      <c r="BT36" s="36" t="s">
        <v>37</v>
      </c>
      <c r="BU36" s="37" t="s">
        <v>38</v>
      </c>
      <c r="BV36" s="36" t="s">
        <v>39</v>
      </c>
      <c r="BW36" s="37" t="s">
        <v>40</v>
      </c>
      <c r="BX36" s="36" t="s">
        <v>41</v>
      </c>
      <c r="BY36" s="37" t="s">
        <v>42</v>
      </c>
      <c r="BZ36" s="36" t="s">
        <v>43</v>
      </c>
      <c r="CA36" s="37" t="s">
        <v>44</v>
      </c>
      <c r="CB36" s="38" t="s">
        <v>45</v>
      </c>
      <c r="CC36" s="35"/>
    </row>
    <row r="37" ht="26.25" customHeight="1">
      <c r="A37" s="35"/>
      <c r="B37" s="57" t="s">
        <v>53</v>
      </c>
      <c r="C37" s="57" t="s">
        <v>20</v>
      </c>
      <c r="D37" s="57" t="s">
        <v>20</v>
      </c>
      <c r="E37" s="57" t="s">
        <v>53</v>
      </c>
      <c r="F37" s="57" t="s">
        <v>20</v>
      </c>
      <c r="G37" s="57" t="s">
        <v>20</v>
      </c>
      <c r="H37" s="57" t="s">
        <v>53</v>
      </c>
      <c r="I37" s="57" t="s">
        <v>20</v>
      </c>
      <c r="J37" s="57" t="s">
        <v>20</v>
      </c>
      <c r="K37" s="57" t="s">
        <v>53</v>
      </c>
      <c r="L37" s="57" t="s">
        <v>20</v>
      </c>
      <c r="M37" s="57" t="s">
        <v>20</v>
      </c>
      <c r="N37" s="57" t="s">
        <v>53</v>
      </c>
      <c r="O37" s="57" t="s">
        <v>20</v>
      </c>
      <c r="P37" s="57" t="s">
        <v>20</v>
      </c>
      <c r="Q37" s="57" t="s">
        <v>53</v>
      </c>
      <c r="R37" s="57" t="s">
        <v>20</v>
      </c>
      <c r="S37" s="57" t="s">
        <v>20</v>
      </c>
      <c r="T37" s="57" t="s">
        <v>53</v>
      </c>
      <c r="U37" s="57" t="s">
        <v>20</v>
      </c>
      <c r="V37" s="57" t="s">
        <v>20</v>
      </c>
      <c r="W37" s="57" t="s">
        <v>53</v>
      </c>
      <c r="X37" s="57" t="s">
        <v>20</v>
      </c>
      <c r="Y37" s="57" t="s">
        <v>20</v>
      </c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202"/>
      <c r="BQ37" s="202"/>
      <c r="BR37" s="202"/>
      <c r="BS37" s="202"/>
      <c r="BT37" s="202"/>
      <c r="BU37" s="202"/>
      <c r="BV37" s="202"/>
      <c r="BW37" s="202"/>
      <c r="BX37" s="202"/>
      <c r="BY37" s="202"/>
      <c r="BZ37" s="202"/>
      <c r="CA37" s="202"/>
      <c r="CB37" s="203"/>
      <c r="CC37" s="35"/>
    </row>
    <row r="38" ht="26.25" customHeight="1">
      <c r="A38" s="1"/>
      <c r="B38" s="204" t="s">
        <v>21</v>
      </c>
      <c r="C38" s="205">
        <f t="shared" ref="C38:C43" si="25">RANDBETWEEN(-100, 0)</f>
        <v>-33</v>
      </c>
      <c r="D38" s="206"/>
      <c r="E38" s="204" t="s">
        <v>21</v>
      </c>
      <c r="F38" s="205">
        <f t="shared" ref="F38:F43" si="26">RANDBETWEEN(-100, 0)</f>
        <v>-52</v>
      </c>
      <c r="G38" s="206"/>
      <c r="H38" s="204" t="s">
        <v>21</v>
      </c>
      <c r="I38" s="207">
        <f t="shared" ref="I38:I43" si="27">RANDBETWEEN(-100, 0)</f>
        <v>-70</v>
      </c>
      <c r="J38" s="206"/>
      <c r="K38" s="204" t="s">
        <v>21</v>
      </c>
      <c r="L38" s="207">
        <f t="shared" ref="L38:L43" si="28">RANDBETWEEN(-100, 0)</f>
        <v>-50</v>
      </c>
      <c r="M38" s="206"/>
      <c r="N38" s="204" t="s">
        <v>21</v>
      </c>
      <c r="O38" s="207">
        <f t="shared" ref="O38:O43" si="29">RANDBETWEEN(-100, 0)</f>
        <v>-62</v>
      </c>
      <c r="P38" s="206"/>
      <c r="Q38" s="204" t="s">
        <v>21</v>
      </c>
      <c r="R38" s="207">
        <f t="shared" ref="R38:R43" si="30">RANDBETWEEN(-100, 0)</f>
        <v>-7</v>
      </c>
      <c r="S38" s="206"/>
      <c r="T38" s="204" t="s">
        <v>21</v>
      </c>
      <c r="U38" s="207">
        <f t="shared" ref="U38:U43" si="31">RANDBETWEEN(-100, 0)</f>
        <v>-19</v>
      </c>
      <c r="V38" s="206"/>
      <c r="W38" s="204" t="s">
        <v>21</v>
      </c>
      <c r="X38" s="207">
        <f t="shared" ref="X38:X43" si="32">RANDBETWEEN(-100, 0)</f>
        <v>-45</v>
      </c>
      <c r="Y38" s="206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87"/>
      <c r="BQ38" s="187"/>
      <c r="BR38" s="187"/>
      <c r="BS38" s="187"/>
      <c r="BT38" s="187"/>
      <c r="BU38" s="187"/>
      <c r="BV38" s="187"/>
      <c r="BW38" s="187"/>
      <c r="BX38" s="187"/>
      <c r="BY38" s="187"/>
      <c r="BZ38" s="187"/>
      <c r="CA38" s="187"/>
      <c r="CB38" s="41">
        <f t="shared" ref="CB38:CB42" si="33">SUM(BP38:CA38)</f>
        <v>0</v>
      </c>
      <c r="CC38" s="1"/>
    </row>
    <row r="39" ht="26.25" customHeight="1">
      <c r="A39" s="1"/>
      <c r="B39" s="204" t="s">
        <v>22</v>
      </c>
      <c r="C39" s="205">
        <f t="shared" si="25"/>
        <v>-12</v>
      </c>
      <c r="D39" s="206"/>
      <c r="E39" s="204" t="s">
        <v>22</v>
      </c>
      <c r="F39" s="205">
        <f t="shared" si="26"/>
        <v>-40</v>
      </c>
      <c r="G39" s="206"/>
      <c r="H39" s="204" t="s">
        <v>22</v>
      </c>
      <c r="I39" s="207">
        <f t="shared" si="27"/>
        <v>-74</v>
      </c>
      <c r="J39" s="206"/>
      <c r="K39" s="204" t="s">
        <v>22</v>
      </c>
      <c r="L39" s="207">
        <f t="shared" si="28"/>
        <v>-56</v>
      </c>
      <c r="M39" s="206"/>
      <c r="N39" s="204" t="s">
        <v>22</v>
      </c>
      <c r="O39" s="207">
        <f t="shared" si="29"/>
        <v>-32</v>
      </c>
      <c r="P39" s="206"/>
      <c r="Q39" s="204" t="s">
        <v>22</v>
      </c>
      <c r="R39" s="207">
        <f t="shared" si="30"/>
        <v>-50</v>
      </c>
      <c r="S39" s="206"/>
      <c r="T39" s="204" t="s">
        <v>22</v>
      </c>
      <c r="U39" s="207">
        <f t="shared" si="31"/>
        <v>-96</v>
      </c>
      <c r="V39" s="206"/>
      <c r="W39" s="204" t="s">
        <v>22</v>
      </c>
      <c r="X39" s="207">
        <f t="shared" si="32"/>
        <v>0</v>
      </c>
      <c r="Y39" s="206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1">
        <f t="shared" si="33"/>
        <v>0</v>
      </c>
      <c r="CC39" s="1"/>
    </row>
    <row r="40" ht="26.25" customHeight="1">
      <c r="A40" s="1"/>
      <c r="B40" s="204" t="s">
        <v>23</v>
      </c>
      <c r="C40" s="205">
        <f t="shared" si="25"/>
        <v>-95</v>
      </c>
      <c r="D40" s="206"/>
      <c r="E40" s="204" t="s">
        <v>23</v>
      </c>
      <c r="F40" s="205">
        <f t="shared" si="26"/>
        <v>-84</v>
      </c>
      <c r="G40" s="206"/>
      <c r="H40" s="204" t="s">
        <v>23</v>
      </c>
      <c r="I40" s="207">
        <f t="shared" si="27"/>
        <v>-45</v>
      </c>
      <c r="J40" s="206"/>
      <c r="K40" s="204" t="s">
        <v>23</v>
      </c>
      <c r="L40" s="207">
        <f t="shared" si="28"/>
        <v>-100</v>
      </c>
      <c r="M40" s="206"/>
      <c r="N40" s="204" t="s">
        <v>23</v>
      </c>
      <c r="O40" s="207">
        <f t="shared" si="29"/>
        <v>-80</v>
      </c>
      <c r="P40" s="206"/>
      <c r="Q40" s="204" t="s">
        <v>23</v>
      </c>
      <c r="R40" s="207">
        <f t="shared" si="30"/>
        <v>-99</v>
      </c>
      <c r="S40" s="206"/>
      <c r="T40" s="204" t="s">
        <v>23</v>
      </c>
      <c r="U40" s="207">
        <f t="shared" si="31"/>
        <v>-1</v>
      </c>
      <c r="V40" s="206"/>
      <c r="W40" s="204" t="s">
        <v>23</v>
      </c>
      <c r="X40" s="207">
        <f t="shared" si="32"/>
        <v>-61</v>
      </c>
      <c r="Y40" s="206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1">
        <f t="shared" si="33"/>
        <v>0</v>
      </c>
      <c r="CC40" s="1"/>
    </row>
    <row r="41" ht="26.25" customHeight="1">
      <c r="A41" s="1"/>
      <c r="B41" s="204" t="s">
        <v>24</v>
      </c>
      <c r="C41" s="205">
        <f t="shared" si="25"/>
        <v>-84</v>
      </c>
      <c r="D41" s="206"/>
      <c r="E41" s="204" t="s">
        <v>24</v>
      </c>
      <c r="F41" s="205">
        <f t="shared" si="26"/>
        <v>-88</v>
      </c>
      <c r="G41" s="206"/>
      <c r="H41" s="204" t="s">
        <v>24</v>
      </c>
      <c r="I41" s="207">
        <f t="shared" si="27"/>
        <v>-34</v>
      </c>
      <c r="J41" s="206"/>
      <c r="K41" s="204" t="s">
        <v>24</v>
      </c>
      <c r="L41" s="207">
        <f t="shared" si="28"/>
        <v>-10</v>
      </c>
      <c r="M41" s="206"/>
      <c r="N41" s="204" t="s">
        <v>24</v>
      </c>
      <c r="O41" s="207">
        <f t="shared" si="29"/>
        <v>-85</v>
      </c>
      <c r="P41" s="206"/>
      <c r="Q41" s="204" t="s">
        <v>24</v>
      </c>
      <c r="R41" s="207">
        <f t="shared" si="30"/>
        <v>-4</v>
      </c>
      <c r="S41" s="206"/>
      <c r="T41" s="204" t="s">
        <v>24</v>
      </c>
      <c r="U41" s="207">
        <f t="shared" si="31"/>
        <v>-27</v>
      </c>
      <c r="V41" s="206"/>
      <c r="W41" s="204" t="s">
        <v>24</v>
      </c>
      <c r="X41" s="207">
        <f t="shared" si="32"/>
        <v>-93</v>
      </c>
      <c r="Y41" s="206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90"/>
      <c r="BQ41" s="190"/>
      <c r="BR41" s="190"/>
      <c r="BS41" s="190"/>
      <c r="BT41" s="190"/>
      <c r="BU41" s="190"/>
      <c r="BV41" s="190"/>
      <c r="BW41" s="190"/>
      <c r="BX41" s="190"/>
      <c r="BY41" s="190"/>
      <c r="BZ41" s="190"/>
      <c r="CA41" s="190"/>
      <c r="CB41" s="41">
        <f t="shared" si="33"/>
        <v>0</v>
      </c>
      <c r="CC41" s="1"/>
    </row>
    <row r="42" ht="26.25" customHeight="1">
      <c r="A42" s="1"/>
      <c r="B42" s="204" t="s">
        <v>25</v>
      </c>
      <c r="C42" s="205">
        <f t="shared" si="25"/>
        <v>-48</v>
      </c>
      <c r="D42" s="206"/>
      <c r="E42" s="204" t="s">
        <v>25</v>
      </c>
      <c r="F42" s="205">
        <f t="shared" si="26"/>
        <v>-86</v>
      </c>
      <c r="G42" s="206"/>
      <c r="H42" s="204" t="s">
        <v>25</v>
      </c>
      <c r="I42" s="207">
        <f t="shared" si="27"/>
        <v>-21</v>
      </c>
      <c r="J42" s="206"/>
      <c r="K42" s="204" t="s">
        <v>25</v>
      </c>
      <c r="L42" s="207">
        <f t="shared" si="28"/>
        <v>-86</v>
      </c>
      <c r="M42" s="206"/>
      <c r="N42" s="204" t="s">
        <v>25</v>
      </c>
      <c r="O42" s="207">
        <f t="shared" si="29"/>
        <v>-88</v>
      </c>
      <c r="P42" s="206"/>
      <c r="Q42" s="204" t="s">
        <v>25</v>
      </c>
      <c r="R42" s="207">
        <f t="shared" si="30"/>
        <v>-79</v>
      </c>
      <c r="S42" s="206"/>
      <c r="T42" s="204" t="s">
        <v>25</v>
      </c>
      <c r="U42" s="207">
        <f t="shared" si="31"/>
        <v>-10</v>
      </c>
      <c r="V42" s="206"/>
      <c r="W42" s="204" t="s">
        <v>25</v>
      </c>
      <c r="X42" s="207">
        <f t="shared" si="32"/>
        <v>-57</v>
      </c>
      <c r="Y42" s="206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1">
        <f t="shared" si="33"/>
        <v>0</v>
      </c>
      <c r="CC42" s="1"/>
    </row>
    <row r="43" ht="26.25" customHeight="1">
      <c r="A43" s="1"/>
      <c r="B43" s="204" t="s">
        <v>26</v>
      </c>
      <c r="C43" s="205">
        <f t="shared" si="25"/>
        <v>-29</v>
      </c>
      <c r="D43" s="206"/>
      <c r="E43" s="204" t="s">
        <v>26</v>
      </c>
      <c r="F43" s="205">
        <f t="shared" si="26"/>
        <v>-37</v>
      </c>
      <c r="G43" s="206"/>
      <c r="H43" s="204" t="s">
        <v>26</v>
      </c>
      <c r="I43" s="207">
        <f t="shared" si="27"/>
        <v>-3</v>
      </c>
      <c r="J43" s="206"/>
      <c r="K43" s="204" t="s">
        <v>26</v>
      </c>
      <c r="L43" s="207">
        <f t="shared" si="28"/>
        <v>-72</v>
      </c>
      <c r="M43" s="206"/>
      <c r="N43" s="204" t="s">
        <v>26</v>
      </c>
      <c r="O43" s="207">
        <f t="shared" si="29"/>
        <v>-68</v>
      </c>
      <c r="P43" s="206"/>
      <c r="Q43" s="204" t="s">
        <v>26</v>
      </c>
      <c r="R43" s="207">
        <f t="shared" si="30"/>
        <v>-57</v>
      </c>
      <c r="S43" s="206"/>
      <c r="T43" s="204" t="s">
        <v>26</v>
      </c>
      <c r="U43" s="207">
        <f t="shared" si="31"/>
        <v>-30</v>
      </c>
      <c r="V43" s="206"/>
      <c r="W43" s="204" t="s">
        <v>26</v>
      </c>
      <c r="X43" s="207">
        <f t="shared" si="32"/>
        <v>-42</v>
      </c>
      <c r="Y43" s="206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</row>
  </sheetData>
  <mergeCells count="34">
    <mergeCell ref="AP5:AR5"/>
    <mergeCell ref="H36:J36"/>
    <mergeCell ref="K36:M36"/>
    <mergeCell ref="N36:P36"/>
    <mergeCell ref="Q36:S36"/>
    <mergeCell ref="T36:V36"/>
    <mergeCell ref="W36:Y36"/>
    <mergeCell ref="AJ5:AL5"/>
    <mergeCell ref="AV5:AX5"/>
    <mergeCell ref="AY5:BA5"/>
    <mergeCell ref="BB5:BD5"/>
    <mergeCell ref="BE5:BG5"/>
    <mergeCell ref="C5:E5"/>
    <mergeCell ref="B18:CC18"/>
    <mergeCell ref="B33:CB33"/>
    <mergeCell ref="B35:CC35"/>
    <mergeCell ref="B36:D36"/>
    <mergeCell ref="E36:G36"/>
    <mergeCell ref="B4:BM4"/>
    <mergeCell ref="F5:H5"/>
    <mergeCell ref="I5:K5"/>
    <mergeCell ref="B2:L2"/>
    <mergeCell ref="L5:N5"/>
    <mergeCell ref="O5:Q5"/>
    <mergeCell ref="R5:T5"/>
    <mergeCell ref="U5:W5"/>
    <mergeCell ref="X5:Z5"/>
    <mergeCell ref="AA5:AC5"/>
    <mergeCell ref="AD5:AF5"/>
    <mergeCell ref="AG5:AI5"/>
    <mergeCell ref="BH5:BJ5"/>
    <mergeCell ref="BK5:BM5"/>
    <mergeCell ref="AM5:AO5"/>
    <mergeCell ref="AS5:AU5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2.63"/>
    <col customWidth="1" min="2" max="5" width="17.38"/>
    <col customWidth="1" min="6" max="6" width="0.75"/>
    <col customWidth="1" min="7" max="10" width="17.38"/>
    <col customWidth="1" min="11" max="11" width="0.75"/>
    <col customWidth="1" min="12" max="15" width="17.38"/>
    <col customWidth="1" min="16" max="16" width="0.75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54.0" customHeight="1">
      <c r="A2" s="35"/>
      <c r="B2" s="150" t="s">
        <v>142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26.25" customHeight="1">
      <c r="A4" s="35"/>
      <c r="B4" s="208" t="s">
        <v>143</v>
      </c>
      <c r="C4" s="3"/>
      <c r="D4" s="3"/>
      <c r="E4" s="4"/>
      <c r="F4" s="85"/>
      <c r="G4" s="151" t="s">
        <v>144</v>
      </c>
      <c r="H4" s="3"/>
      <c r="I4" s="3"/>
      <c r="J4" s="4"/>
      <c r="K4" s="85"/>
      <c r="L4" s="151" t="s">
        <v>170</v>
      </c>
      <c r="M4" s="3"/>
      <c r="N4" s="3"/>
      <c r="O4" s="4"/>
      <c r="P4" s="85"/>
    </row>
    <row r="5" ht="26.25" customHeight="1">
      <c r="A5" s="1"/>
      <c r="B5" s="209" t="s">
        <v>171</v>
      </c>
      <c r="C5" s="209" t="s">
        <v>20</v>
      </c>
      <c r="D5" s="209" t="s">
        <v>20</v>
      </c>
      <c r="E5" s="209" t="s">
        <v>20</v>
      </c>
      <c r="F5" s="156"/>
      <c r="G5" s="209" t="s">
        <v>171</v>
      </c>
      <c r="H5" s="209" t="s">
        <v>20</v>
      </c>
      <c r="I5" s="209" t="s">
        <v>20</v>
      </c>
      <c r="J5" s="209" t="s">
        <v>20</v>
      </c>
      <c r="K5" s="156"/>
      <c r="L5" s="209" t="s">
        <v>171</v>
      </c>
      <c r="M5" s="209" t="s">
        <v>20</v>
      </c>
      <c r="N5" s="209" t="s">
        <v>20</v>
      </c>
      <c r="O5" s="209" t="s">
        <v>20</v>
      </c>
      <c r="P5" s="156"/>
    </row>
    <row r="6" ht="26.25" customHeight="1">
      <c r="A6" s="1"/>
      <c r="B6" s="210" t="s">
        <v>21</v>
      </c>
      <c r="C6" s="211">
        <f>'DATOS CRUDOS EJEMPLO'!C7</f>
        <v>93</v>
      </c>
      <c r="D6" s="212">
        <f>'DATOS CRUDOS EJEMPLO'!D7</f>
        <v>91</v>
      </c>
      <c r="E6" s="213">
        <f>'DATOS CRUDOS EJEMPLO'!E7</f>
        <v>33</v>
      </c>
      <c r="F6" s="214"/>
      <c r="G6" s="210" t="s">
        <v>21</v>
      </c>
      <c r="H6" s="211">
        <f>'DATOS CRUDOS EJEMPLO'!F7</f>
        <v>87</v>
      </c>
      <c r="I6" s="212">
        <f>'DATOS CRUDOS EJEMPLO'!G7</f>
        <v>4</v>
      </c>
      <c r="J6" s="213">
        <f>'DATOS CRUDOS EJEMPLO'!H7</f>
        <v>55</v>
      </c>
      <c r="K6" s="214"/>
      <c r="L6" s="210" t="s">
        <v>21</v>
      </c>
      <c r="M6" s="211">
        <f>'DATOS CRUDOS EJEMPLO'!I7</f>
        <v>0</v>
      </c>
      <c r="N6" s="212">
        <f>'DATOS CRUDOS EJEMPLO'!J7</f>
        <v>85</v>
      </c>
      <c r="O6" s="213">
        <f>'DATOS CRUDOS EJEMPLO'!K7</f>
        <v>62</v>
      </c>
      <c r="P6" s="214"/>
    </row>
    <row r="7" ht="26.25" customHeight="1">
      <c r="A7" s="1"/>
      <c r="B7" s="210" t="s">
        <v>22</v>
      </c>
      <c r="C7" s="211">
        <f>'DATOS CRUDOS EJEMPLO'!C8</f>
        <v>57</v>
      </c>
      <c r="D7" s="212">
        <f>'DATOS CRUDOS EJEMPLO'!D8</f>
        <v>10</v>
      </c>
      <c r="E7" s="213">
        <f>'DATOS CRUDOS EJEMPLO'!E8</f>
        <v>87</v>
      </c>
      <c r="F7" s="214"/>
      <c r="G7" s="210" t="s">
        <v>22</v>
      </c>
      <c r="H7" s="211">
        <f>'DATOS CRUDOS EJEMPLO'!F8</f>
        <v>53</v>
      </c>
      <c r="I7" s="212">
        <f>'DATOS CRUDOS EJEMPLO'!G8</f>
        <v>91</v>
      </c>
      <c r="J7" s="213">
        <f>'DATOS CRUDOS EJEMPLO'!H8</f>
        <v>84</v>
      </c>
      <c r="K7" s="214"/>
      <c r="L7" s="210" t="s">
        <v>22</v>
      </c>
      <c r="M7" s="211">
        <f>'DATOS CRUDOS EJEMPLO'!I8</f>
        <v>22</v>
      </c>
      <c r="N7" s="212">
        <f>'DATOS CRUDOS EJEMPLO'!J8</f>
        <v>73</v>
      </c>
      <c r="O7" s="213">
        <f>'DATOS CRUDOS EJEMPLO'!K8</f>
        <v>59</v>
      </c>
      <c r="P7" s="214"/>
    </row>
    <row r="8" ht="26.25" customHeight="1">
      <c r="A8" s="1"/>
      <c r="B8" s="210" t="s">
        <v>23</v>
      </c>
      <c r="C8" s="211">
        <f>'DATOS CRUDOS EJEMPLO'!C9</f>
        <v>32</v>
      </c>
      <c r="D8" s="212">
        <f>'DATOS CRUDOS EJEMPLO'!D9</f>
        <v>91</v>
      </c>
      <c r="E8" s="213">
        <f>'DATOS CRUDOS EJEMPLO'!E9</f>
        <v>21</v>
      </c>
      <c r="F8" s="214"/>
      <c r="G8" s="210" t="s">
        <v>23</v>
      </c>
      <c r="H8" s="211">
        <f>'DATOS CRUDOS EJEMPLO'!F9</f>
        <v>44</v>
      </c>
      <c r="I8" s="212">
        <f>'DATOS CRUDOS EJEMPLO'!G9</f>
        <v>49</v>
      </c>
      <c r="J8" s="213">
        <f>'DATOS CRUDOS EJEMPLO'!H9</f>
        <v>2</v>
      </c>
      <c r="K8" s="214"/>
      <c r="L8" s="210" t="s">
        <v>23</v>
      </c>
      <c r="M8" s="211">
        <f>'DATOS CRUDOS EJEMPLO'!I9</f>
        <v>2</v>
      </c>
      <c r="N8" s="212">
        <f>'DATOS CRUDOS EJEMPLO'!J9</f>
        <v>2</v>
      </c>
      <c r="O8" s="213">
        <f>'DATOS CRUDOS EJEMPLO'!K9</f>
        <v>84</v>
      </c>
      <c r="P8" s="214"/>
    </row>
    <row r="9" ht="26.25" customHeight="1">
      <c r="A9" s="1"/>
      <c r="B9" s="210" t="s">
        <v>24</v>
      </c>
      <c r="C9" s="211">
        <f>'DATOS CRUDOS EJEMPLO'!C10</f>
        <v>65</v>
      </c>
      <c r="D9" s="212">
        <f>'DATOS CRUDOS EJEMPLO'!D10</f>
        <v>8</v>
      </c>
      <c r="E9" s="213">
        <f>'DATOS CRUDOS EJEMPLO'!E10</f>
        <v>7</v>
      </c>
      <c r="F9" s="214"/>
      <c r="G9" s="210" t="s">
        <v>24</v>
      </c>
      <c r="H9" s="211">
        <f>'DATOS CRUDOS EJEMPLO'!F10</f>
        <v>78</v>
      </c>
      <c r="I9" s="212">
        <f>'DATOS CRUDOS EJEMPLO'!G10</f>
        <v>99</v>
      </c>
      <c r="J9" s="213">
        <f>'DATOS CRUDOS EJEMPLO'!H10</f>
        <v>27</v>
      </c>
      <c r="K9" s="214"/>
      <c r="L9" s="210" t="s">
        <v>24</v>
      </c>
      <c r="M9" s="211">
        <f>'DATOS CRUDOS EJEMPLO'!I10</f>
        <v>59</v>
      </c>
      <c r="N9" s="212">
        <f>'DATOS CRUDOS EJEMPLO'!J10</f>
        <v>20</v>
      </c>
      <c r="O9" s="213">
        <f>'DATOS CRUDOS EJEMPLO'!K10</f>
        <v>35</v>
      </c>
      <c r="P9" s="214"/>
    </row>
    <row r="10" ht="26.25" customHeight="1">
      <c r="A10" s="1"/>
      <c r="B10" s="210" t="s">
        <v>25</v>
      </c>
      <c r="C10" s="211">
        <f>'DATOS CRUDOS EJEMPLO'!C11</f>
        <v>89</v>
      </c>
      <c r="D10" s="212">
        <f>'DATOS CRUDOS EJEMPLO'!D11</f>
        <v>9</v>
      </c>
      <c r="E10" s="213">
        <f>'DATOS CRUDOS EJEMPLO'!E11</f>
        <v>38</v>
      </c>
      <c r="F10" s="214"/>
      <c r="G10" s="210" t="s">
        <v>25</v>
      </c>
      <c r="H10" s="211">
        <f>'DATOS CRUDOS EJEMPLO'!F11</f>
        <v>98</v>
      </c>
      <c r="I10" s="212">
        <f>'DATOS CRUDOS EJEMPLO'!G11</f>
        <v>26</v>
      </c>
      <c r="J10" s="213">
        <f>'DATOS CRUDOS EJEMPLO'!H11</f>
        <v>57</v>
      </c>
      <c r="K10" s="214"/>
      <c r="L10" s="210" t="s">
        <v>25</v>
      </c>
      <c r="M10" s="211">
        <f>'DATOS CRUDOS EJEMPLO'!I11</f>
        <v>95</v>
      </c>
      <c r="N10" s="212">
        <f>'DATOS CRUDOS EJEMPLO'!J11</f>
        <v>59</v>
      </c>
      <c r="O10" s="213">
        <f>'DATOS CRUDOS EJEMPLO'!K11</f>
        <v>58</v>
      </c>
      <c r="P10" s="214"/>
    </row>
    <row r="11" ht="26.25" customHeight="1">
      <c r="A11" s="1"/>
      <c r="B11" s="210" t="s">
        <v>26</v>
      </c>
      <c r="C11" s="211">
        <f>'DATOS CRUDOS EJEMPLO'!C12</f>
        <v>74</v>
      </c>
      <c r="D11" s="212">
        <f>'DATOS CRUDOS EJEMPLO'!D12</f>
        <v>68</v>
      </c>
      <c r="E11" s="213">
        <f>'DATOS CRUDOS EJEMPLO'!E12</f>
        <v>28</v>
      </c>
      <c r="F11" s="214"/>
      <c r="G11" s="210" t="s">
        <v>26</v>
      </c>
      <c r="H11" s="211">
        <f>'DATOS CRUDOS EJEMPLO'!F12</f>
        <v>62</v>
      </c>
      <c r="I11" s="212">
        <f>'DATOS CRUDOS EJEMPLO'!G12</f>
        <v>4</v>
      </c>
      <c r="J11" s="213">
        <f>'DATOS CRUDOS EJEMPLO'!H12</f>
        <v>49</v>
      </c>
      <c r="K11" s="214"/>
      <c r="L11" s="210" t="s">
        <v>26</v>
      </c>
      <c r="M11" s="211">
        <f>'DATOS CRUDOS EJEMPLO'!I12</f>
        <v>8</v>
      </c>
      <c r="N11" s="212">
        <f>'DATOS CRUDOS EJEMPLO'!J12</f>
        <v>71</v>
      </c>
      <c r="O11" s="213">
        <f>'DATOS CRUDOS EJEMPLO'!K12</f>
        <v>17</v>
      </c>
      <c r="P11" s="214"/>
    </row>
    <row r="12" ht="26.25" customHeight="1">
      <c r="A12" s="1"/>
      <c r="B12" s="210" t="s">
        <v>27</v>
      </c>
      <c r="C12" s="211">
        <f>'DATOS CRUDOS EJEMPLO'!C13</f>
        <v>39</v>
      </c>
      <c r="D12" s="212">
        <f>'DATOS CRUDOS EJEMPLO'!D13</f>
        <v>6</v>
      </c>
      <c r="E12" s="213">
        <f>'DATOS CRUDOS EJEMPLO'!E13</f>
        <v>38</v>
      </c>
      <c r="F12" s="214"/>
      <c r="G12" s="210" t="s">
        <v>27</v>
      </c>
      <c r="H12" s="211">
        <f>'DATOS CRUDOS EJEMPLO'!F13</f>
        <v>76</v>
      </c>
      <c r="I12" s="212">
        <f>'DATOS CRUDOS EJEMPLO'!G13</f>
        <v>71</v>
      </c>
      <c r="J12" s="213">
        <f>'DATOS CRUDOS EJEMPLO'!H13</f>
        <v>40</v>
      </c>
      <c r="K12" s="214"/>
      <c r="L12" s="210" t="s">
        <v>27</v>
      </c>
      <c r="M12" s="211">
        <f>'DATOS CRUDOS EJEMPLO'!I13</f>
        <v>60</v>
      </c>
      <c r="N12" s="212">
        <f>'DATOS CRUDOS EJEMPLO'!J13</f>
        <v>2</v>
      </c>
      <c r="O12" s="213">
        <f>'DATOS CRUDOS EJEMPLO'!K13</f>
        <v>71</v>
      </c>
      <c r="P12" s="214"/>
    </row>
    <row r="13" ht="26.25" customHeight="1">
      <c r="A13" s="1"/>
      <c r="B13" s="210" t="s">
        <v>28</v>
      </c>
      <c r="C13" s="211">
        <f>'DATOS CRUDOS EJEMPLO'!C14</f>
        <v>84</v>
      </c>
      <c r="D13" s="212">
        <f>'DATOS CRUDOS EJEMPLO'!D14</f>
        <v>13</v>
      </c>
      <c r="E13" s="213">
        <f>'DATOS CRUDOS EJEMPLO'!E14</f>
        <v>25</v>
      </c>
      <c r="F13" s="214"/>
      <c r="G13" s="210" t="s">
        <v>28</v>
      </c>
      <c r="H13" s="211">
        <f>'DATOS CRUDOS EJEMPLO'!F14</f>
        <v>34</v>
      </c>
      <c r="I13" s="212">
        <f>'DATOS CRUDOS EJEMPLO'!G14</f>
        <v>33</v>
      </c>
      <c r="J13" s="213">
        <f>'DATOS CRUDOS EJEMPLO'!H14</f>
        <v>45</v>
      </c>
      <c r="K13" s="214"/>
      <c r="L13" s="210" t="s">
        <v>28</v>
      </c>
      <c r="M13" s="211">
        <f>'DATOS CRUDOS EJEMPLO'!I14</f>
        <v>84</v>
      </c>
      <c r="N13" s="212">
        <f>'DATOS CRUDOS EJEMPLO'!J14</f>
        <v>78</v>
      </c>
      <c r="O13" s="213">
        <f>'DATOS CRUDOS EJEMPLO'!K14</f>
        <v>33</v>
      </c>
      <c r="P13" s="214"/>
    </row>
    <row r="14" ht="26.25" customHeight="1">
      <c r="A14" s="1"/>
      <c r="B14" s="210" t="s">
        <v>29</v>
      </c>
      <c r="C14" s="211">
        <f>'DATOS CRUDOS EJEMPLO'!C15</f>
        <v>29</v>
      </c>
      <c r="D14" s="212">
        <f>'DATOS CRUDOS EJEMPLO'!D15</f>
        <v>7</v>
      </c>
      <c r="E14" s="213">
        <f>'DATOS CRUDOS EJEMPLO'!E15</f>
        <v>69</v>
      </c>
      <c r="F14" s="214"/>
      <c r="G14" s="210" t="s">
        <v>29</v>
      </c>
      <c r="H14" s="211">
        <f>'DATOS CRUDOS EJEMPLO'!F15</f>
        <v>73</v>
      </c>
      <c r="I14" s="212">
        <f>'DATOS CRUDOS EJEMPLO'!G15</f>
        <v>26</v>
      </c>
      <c r="J14" s="213">
        <f>'DATOS CRUDOS EJEMPLO'!H15</f>
        <v>15</v>
      </c>
      <c r="K14" s="214"/>
      <c r="L14" s="210" t="s">
        <v>29</v>
      </c>
      <c r="M14" s="211">
        <f>'DATOS CRUDOS EJEMPLO'!I15</f>
        <v>70</v>
      </c>
      <c r="N14" s="212">
        <f>'DATOS CRUDOS EJEMPLO'!J15</f>
        <v>13</v>
      </c>
      <c r="O14" s="213">
        <f>'DATOS CRUDOS EJEMPLO'!K15</f>
        <v>58</v>
      </c>
      <c r="P14" s="214"/>
    </row>
    <row r="15" ht="26.25" customHeight="1">
      <c r="A15" s="1"/>
      <c r="B15" s="157" t="s">
        <v>138</v>
      </c>
      <c r="C15" s="211">
        <f>'DATOS CRUDOS EJEMPLO'!C16</f>
        <v>93</v>
      </c>
      <c r="D15" s="215">
        <v>0.0</v>
      </c>
      <c r="E15" s="213">
        <f>'DATOS CRUDOS EJEMPLO'!E16</f>
        <v>79</v>
      </c>
      <c r="F15" s="214"/>
      <c r="G15" s="157" t="s">
        <v>138</v>
      </c>
      <c r="H15" s="211">
        <f>'DATOS CRUDOS EJEMPLO'!F16</f>
        <v>91</v>
      </c>
      <c r="I15" s="212">
        <f>'DATOS CRUDOS EJEMPLO'!G16</f>
        <v>48</v>
      </c>
      <c r="J15" s="213">
        <f>'DATOS CRUDOS EJEMPLO'!H16</f>
        <v>95</v>
      </c>
      <c r="K15" s="214"/>
      <c r="L15" s="157" t="s">
        <v>138</v>
      </c>
      <c r="M15" s="211">
        <f>'DATOS CRUDOS EJEMPLO'!I16</f>
        <v>25</v>
      </c>
      <c r="N15" s="212">
        <f>'DATOS CRUDOS EJEMPLO'!J16</f>
        <v>40</v>
      </c>
      <c r="O15" s="213">
        <f>'DATOS CRUDOS EJEMPLO'!K16</f>
        <v>48</v>
      </c>
      <c r="P15" s="214"/>
    </row>
    <row r="16" ht="7.5" customHeight="1">
      <c r="A16" s="1"/>
      <c r="B16" s="160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4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ht="7.5" customHeight="1">
      <c r="A18" s="1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</row>
    <row r="19" ht="26.25" customHeight="1">
      <c r="A19" s="1"/>
      <c r="B19" s="161" t="s">
        <v>70</v>
      </c>
      <c r="C19" s="3"/>
      <c r="D19" s="3"/>
      <c r="E19" s="3"/>
      <c r="F19" s="162"/>
      <c r="G19" s="161" t="s">
        <v>85</v>
      </c>
      <c r="H19" s="3"/>
      <c r="I19" s="3"/>
      <c r="J19" s="3"/>
      <c r="K19" s="162"/>
      <c r="L19" s="1"/>
      <c r="M19" s="161" t="s">
        <v>70</v>
      </c>
      <c r="N19" s="3"/>
      <c r="O19" s="3"/>
      <c r="P19" s="3"/>
    </row>
    <row r="20" ht="26.25" customHeight="1">
      <c r="A20" s="1"/>
      <c r="B20" s="216" t="s">
        <v>22</v>
      </c>
      <c r="C20" s="216" t="s">
        <v>137</v>
      </c>
      <c r="D20" s="216" t="s">
        <v>140</v>
      </c>
      <c r="E20" s="216" t="s">
        <v>172</v>
      </c>
      <c r="F20" s="156"/>
      <c r="G20" s="216" t="s">
        <v>172</v>
      </c>
      <c r="H20" s="216" t="s">
        <v>173</v>
      </c>
      <c r="I20" s="216" t="s">
        <v>22</v>
      </c>
      <c r="J20" s="216" t="s">
        <v>173</v>
      </c>
      <c r="K20" s="156"/>
      <c r="L20" s="216" t="s">
        <v>172</v>
      </c>
      <c r="M20" s="216" t="s">
        <v>174</v>
      </c>
      <c r="N20" s="216" t="s">
        <v>21</v>
      </c>
      <c r="O20" s="216" t="s">
        <v>22</v>
      </c>
      <c r="P20" s="156"/>
    </row>
    <row r="21" ht="26.25" customHeight="1">
      <c r="A21" s="1"/>
      <c r="B21" s="58" t="str">
        <f>'DATOS CRUDOS EJEMPLO'!B38</f>
        <v>Producto 1</v>
      </c>
      <c r="C21" s="164">
        <f>'DATOS CRUDOS EJEMPLO'!C38</f>
        <v>-33</v>
      </c>
      <c r="D21" s="60"/>
      <c r="E21" s="217"/>
      <c r="F21" s="156"/>
      <c r="G21" s="58" t="str">
        <f>'DATOS CRUDOS EJEMPLO'!E38</f>
        <v>Producto 1</v>
      </c>
      <c r="H21" s="164">
        <f>'DATOS CRUDOS EJEMPLO'!F38</f>
        <v>-52</v>
      </c>
      <c r="I21" s="60"/>
      <c r="J21" s="217"/>
      <c r="K21" s="156"/>
      <c r="L21" s="58" t="str">
        <f>'DATOS CRUDOS EJEMPLO'!H38</f>
        <v>Producto 1</v>
      </c>
      <c r="M21" s="164">
        <f>'DATOS CRUDOS EJEMPLO'!I38</f>
        <v>-70</v>
      </c>
      <c r="N21" s="60"/>
      <c r="O21" s="218"/>
      <c r="P21" s="156"/>
    </row>
    <row r="22" ht="26.25" customHeight="1">
      <c r="A22" s="1"/>
      <c r="B22" s="58" t="str">
        <f>'DATOS CRUDOS EJEMPLO'!B39</f>
        <v>Producto 2</v>
      </c>
      <c r="C22" s="164">
        <f>'DATOS CRUDOS EJEMPLO'!C39</f>
        <v>-12</v>
      </c>
      <c r="D22" s="60"/>
      <c r="E22" s="218"/>
      <c r="F22" s="156"/>
      <c r="G22" s="58" t="str">
        <f>'DATOS CRUDOS EJEMPLO'!E39</f>
        <v>Producto 2</v>
      </c>
      <c r="H22" s="164">
        <f>'DATOS CRUDOS EJEMPLO'!F39</f>
        <v>-40</v>
      </c>
      <c r="I22" s="60"/>
      <c r="J22" s="217"/>
      <c r="K22" s="156"/>
      <c r="L22" s="58" t="str">
        <f>'DATOS CRUDOS EJEMPLO'!H39</f>
        <v>Producto 2</v>
      </c>
      <c r="M22" s="164">
        <f>'DATOS CRUDOS EJEMPLO'!I39</f>
        <v>-74</v>
      </c>
      <c r="N22" s="60"/>
      <c r="O22" s="217"/>
      <c r="P22" s="156"/>
    </row>
    <row r="23" ht="26.25" customHeight="1">
      <c r="A23" s="1"/>
      <c r="B23" s="58" t="str">
        <f>'DATOS CRUDOS EJEMPLO'!B40</f>
        <v>Producto 3</v>
      </c>
      <c r="C23" s="164">
        <f>'DATOS CRUDOS EJEMPLO'!C40</f>
        <v>-95</v>
      </c>
      <c r="D23" s="60"/>
      <c r="E23" s="218"/>
      <c r="F23" s="156"/>
      <c r="G23" s="58" t="str">
        <f>'DATOS CRUDOS EJEMPLO'!E40</f>
        <v>Producto 3</v>
      </c>
      <c r="H23" s="164">
        <f>'DATOS CRUDOS EJEMPLO'!F40</f>
        <v>-84</v>
      </c>
      <c r="I23" s="60"/>
      <c r="J23" s="217"/>
      <c r="K23" s="156"/>
      <c r="L23" s="58" t="str">
        <f>'DATOS CRUDOS EJEMPLO'!H40</f>
        <v>Producto 3</v>
      </c>
      <c r="M23" s="164">
        <f>'DATOS CRUDOS EJEMPLO'!I40</f>
        <v>-45</v>
      </c>
      <c r="N23" s="60"/>
      <c r="O23" s="218"/>
      <c r="P23" s="156"/>
    </row>
    <row r="24" ht="26.25" customHeight="1">
      <c r="A24" s="1"/>
      <c r="B24" s="58" t="str">
        <f>'DATOS CRUDOS EJEMPLO'!B41</f>
        <v>Producto 4</v>
      </c>
      <c r="C24" s="164">
        <f>'DATOS CRUDOS EJEMPLO'!C41</f>
        <v>-84</v>
      </c>
      <c r="D24" s="60"/>
      <c r="E24" s="218"/>
      <c r="F24" s="156"/>
      <c r="G24" s="58" t="str">
        <f>'DATOS CRUDOS EJEMPLO'!E41</f>
        <v>Producto 4</v>
      </c>
      <c r="H24" s="164">
        <f>'DATOS CRUDOS EJEMPLO'!F41</f>
        <v>-88</v>
      </c>
      <c r="I24" s="60"/>
      <c r="J24" s="217"/>
      <c r="K24" s="156"/>
      <c r="L24" s="58" t="str">
        <f>'DATOS CRUDOS EJEMPLO'!H41</f>
        <v>Producto 4</v>
      </c>
      <c r="M24" s="164">
        <f>'DATOS CRUDOS EJEMPLO'!I41</f>
        <v>-34</v>
      </c>
      <c r="N24" s="60"/>
      <c r="O24" s="217"/>
      <c r="P24" s="156"/>
    </row>
    <row r="25" ht="26.25" customHeight="1">
      <c r="A25" s="1"/>
      <c r="B25" s="58" t="str">
        <f>'DATOS CRUDOS EJEMPLO'!B42</f>
        <v>Producto 5</v>
      </c>
      <c r="C25" s="164">
        <f>'DATOS CRUDOS EJEMPLO'!C42</f>
        <v>-48</v>
      </c>
      <c r="D25" s="60"/>
      <c r="E25" s="217"/>
      <c r="F25" s="156"/>
      <c r="G25" s="58" t="str">
        <f>'DATOS CRUDOS EJEMPLO'!E42</f>
        <v>Producto 5</v>
      </c>
      <c r="H25" s="164">
        <f>'DATOS CRUDOS EJEMPLO'!F42</f>
        <v>-86</v>
      </c>
      <c r="I25" s="60"/>
      <c r="J25" s="217"/>
      <c r="K25" s="156"/>
      <c r="L25" s="58" t="str">
        <f>'DATOS CRUDOS EJEMPLO'!H42</f>
        <v>Producto 5</v>
      </c>
      <c r="M25" s="164">
        <f>'DATOS CRUDOS EJEMPLO'!I42</f>
        <v>-21</v>
      </c>
      <c r="N25" s="60"/>
      <c r="O25" s="218"/>
      <c r="P25" s="156"/>
    </row>
    <row r="26" ht="26.25" customHeight="1">
      <c r="A26" s="1"/>
      <c r="B26" s="58" t="str">
        <f>'DATOS CRUDOS EJEMPLO'!B43</f>
        <v>Producto 6</v>
      </c>
      <c r="C26" s="164">
        <f>'DATOS CRUDOS EJEMPLO'!C43</f>
        <v>-29</v>
      </c>
      <c r="D26" s="60"/>
      <c r="E26" s="217"/>
      <c r="F26" s="156"/>
      <c r="G26" s="58" t="str">
        <f>'DATOS CRUDOS EJEMPLO'!E43</f>
        <v>Producto 6</v>
      </c>
      <c r="H26" s="164">
        <f>'DATOS CRUDOS EJEMPLO'!F43</f>
        <v>-37</v>
      </c>
      <c r="I26" s="60"/>
      <c r="J26" s="217"/>
      <c r="K26" s="156"/>
      <c r="L26" s="58" t="str">
        <f>'DATOS CRUDOS EJEMPLO'!H43</f>
        <v>Producto 6</v>
      </c>
      <c r="M26" s="164">
        <f>'DATOS CRUDOS EJEMPLO'!I43</f>
        <v>-3</v>
      </c>
      <c r="N26" s="60"/>
      <c r="O26" s="218"/>
      <c r="P26" s="156"/>
    </row>
    <row r="27" ht="3.75" customHeight="1">
      <c r="A27" s="1"/>
      <c r="B27" s="166"/>
      <c r="C27" s="3"/>
      <c r="D27" s="3"/>
      <c r="E27" s="3"/>
      <c r="F27" s="4"/>
      <c r="G27" s="166"/>
      <c r="H27" s="3"/>
      <c r="I27" s="3"/>
      <c r="J27" s="3"/>
      <c r="K27" s="4"/>
      <c r="L27" s="166"/>
      <c r="M27" s="3"/>
      <c r="N27" s="3"/>
      <c r="O27" s="3"/>
      <c r="P27" s="4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ht="15.75" customHeight="1">
      <c r="A47" s="1"/>
      <c r="B47" s="2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</sheetData>
  <mergeCells count="11">
    <mergeCell ref="L27:P27"/>
    <mergeCell ref="G27:K27"/>
    <mergeCell ref="B27:F27"/>
    <mergeCell ref="B16:P16"/>
    <mergeCell ref="M19:P19"/>
    <mergeCell ref="B4:E4"/>
    <mergeCell ref="G4:J4"/>
    <mergeCell ref="L4:O4"/>
    <mergeCell ref="B19:E19"/>
    <mergeCell ref="G19:J19"/>
    <mergeCell ref="B2:P2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.63"/>
    <col customWidth="1" min="2" max="2" width="21.0"/>
    <col customWidth="1" min="3" max="5" width="14.0"/>
    <col customWidth="1" min="6" max="6" width="2.63"/>
    <col customWidth="1" min="7" max="8" width="19.25"/>
    <col customWidth="1" min="9" max="10" width="12.25"/>
    <col customWidth="1" min="11" max="11" width="2.63"/>
    <col customWidth="1" min="12" max="15" width="7.63"/>
    <col customWidth="1" min="16" max="16" width="18.88"/>
    <col customWidth="1" min="17" max="21" width="7.63"/>
  </cols>
  <sheetData>
    <row r="1" ht="7.5" customHeight="1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63.75" customHeight="1">
      <c r="A2" s="108"/>
      <c r="B2" s="109" t="s">
        <v>126</v>
      </c>
      <c r="C2" s="3"/>
      <c r="D2" s="3"/>
      <c r="E2" s="3"/>
      <c r="F2" s="3"/>
      <c r="G2" s="3"/>
      <c r="H2" s="3"/>
      <c r="I2" s="3"/>
      <c r="J2" s="4"/>
      <c r="K2" s="108"/>
      <c r="L2" s="35"/>
      <c r="M2" s="220" t="s">
        <v>127</v>
      </c>
      <c r="N2" s="221"/>
      <c r="O2" s="221"/>
      <c r="P2" s="113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ht="9.75" customHeight="1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30.0" customHeight="1">
      <c r="A4" s="108"/>
      <c r="B4" s="115" t="s">
        <v>175</v>
      </c>
      <c r="C4" s="3"/>
      <c r="D4" s="3"/>
      <c r="E4" s="4"/>
      <c r="F4" s="108"/>
      <c r="G4" s="115" t="s">
        <v>129</v>
      </c>
      <c r="H4" s="3"/>
      <c r="I4" s="3"/>
      <c r="J4" s="4"/>
      <c r="K4" s="108"/>
      <c r="L4" s="35"/>
      <c r="M4" s="116"/>
      <c r="N4" s="55" t="s">
        <v>130</v>
      </c>
      <c r="O4" s="19"/>
      <c r="P4" s="117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ht="24.75" customHeight="1">
      <c r="A5" s="108"/>
      <c r="B5" s="16" t="s">
        <v>131</v>
      </c>
      <c r="C5" s="16" t="s">
        <v>132</v>
      </c>
      <c r="D5" s="16" t="s">
        <v>133</v>
      </c>
      <c r="E5" s="16" t="s">
        <v>134</v>
      </c>
      <c r="F5" s="108"/>
      <c r="G5" s="118" t="s">
        <v>131</v>
      </c>
      <c r="H5" s="16" t="s">
        <v>20</v>
      </c>
      <c r="I5" s="16" t="s">
        <v>135</v>
      </c>
      <c r="J5" s="16" t="s">
        <v>134</v>
      </c>
      <c r="K5" s="108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 ht="9.75" customHeight="1">
      <c r="A6" s="107"/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30.0" customHeight="1">
      <c r="A7" s="107"/>
      <c r="B7" s="119" t="s">
        <v>56</v>
      </c>
      <c r="C7" s="222">
        <f>'DATOS CRUDOS EJEMPLO'!C24</f>
        <v>-9035</v>
      </c>
      <c r="D7" s="121">
        <f>'DATOS CRUDOS EJEMPLO'!C22</f>
        <v>-14769</v>
      </c>
      <c r="E7" s="122" t="str">
        <f t="shared" ref="E7:E18" si="1">IF(C7="","⏳ PENDIENTE", IF(C7&lt;0, "🔴 NEGATIVO","✅ POSITIVO"))</f>
        <v>🔴 NEGATIVO</v>
      </c>
      <c r="F7" s="107"/>
      <c r="G7" s="123" t="s">
        <v>56</v>
      </c>
      <c r="H7" s="124" t="s">
        <v>20</v>
      </c>
      <c r="I7" s="125">
        <f>'DATOS CRUDOS EJEMPLO'!C27</f>
        <v>7</v>
      </c>
      <c r="J7" s="122" t="str">
        <f>IF(I7="","⏳ PENDIENTE", IF(I7&gt;9,"✅ OK","🔴 Obj: &gt;9"))</f>
        <v>🔴 Obj: &gt;9</v>
      </c>
      <c r="K7" s="107"/>
      <c r="L7" s="1"/>
      <c r="M7" s="126" t="s">
        <v>136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30.0" customHeight="1">
      <c r="A8" s="107"/>
      <c r="B8" s="127" t="s">
        <v>57</v>
      </c>
      <c r="C8" s="222">
        <f>'DATOS CRUDOS EJEMPLO'!D24</f>
        <v>-10180</v>
      </c>
      <c r="D8" s="121">
        <f>'DATOS CRUDOS EJEMPLO'!D22</f>
        <v>-4960</v>
      </c>
      <c r="E8" s="122" t="str">
        <f t="shared" si="1"/>
        <v>🔴 NEGATIVO</v>
      </c>
      <c r="F8" s="107"/>
      <c r="H8" s="128" t="s">
        <v>20</v>
      </c>
      <c r="I8" s="129">
        <f>'DATOS CRUDOS EJEMPLO'!C28</f>
        <v>1</v>
      </c>
      <c r="J8" s="130" t="str">
        <f>IF(I8="","⏳ PENDIENTE", IF(I8&gt;95,"✅ OK","🔴 Obj: &gt;95"))</f>
        <v>🔴 Obj: &gt;95</v>
      </c>
      <c r="K8" s="107"/>
      <c r="L8" s="1"/>
      <c r="M8" s="131"/>
      <c r="N8" s="131"/>
      <c r="O8" s="131"/>
      <c r="P8" s="131"/>
      <c r="Q8" s="132"/>
      <c r="R8" s="132"/>
      <c r="S8" s="132"/>
      <c r="T8" s="132"/>
      <c r="U8" s="132"/>
      <c r="V8" s="1"/>
      <c r="W8" s="1"/>
      <c r="X8" s="1"/>
      <c r="Y8" s="1"/>
      <c r="Z8" s="1"/>
      <c r="AA8" s="1"/>
    </row>
    <row r="9" ht="30.0" customHeight="1">
      <c r="A9" s="107"/>
      <c r="B9" s="119" t="s">
        <v>58</v>
      </c>
      <c r="C9" s="222">
        <f>'DATOS CRUDOS EJEMPLO'!E24</f>
        <v>-451</v>
      </c>
      <c r="D9" s="121">
        <f>'DATOS CRUDOS EJEMPLO'!E22</f>
        <v>-9157</v>
      </c>
      <c r="E9" s="122" t="str">
        <f t="shared" si="1"/>
        <v>🔴 NEGATIVO</v>
      </c>
      <c r="F9" s="107"/>
      <c r="H9" s="124" t="s">
        <v>20</v>
      </c>
      <c r="I9" s="129">
        <f>'DATOS CRUDOS EJEMPLO'!C29</f>
        <v>0.3650410495</v>
      </c>
      <c r="J9" s="130" t="str">
        <f>IF(I9="","⏳ PENDIENTE", IF(I9&lt;2,"✅ OK","🔴 Obj: &lt;2"))</f>
        <v>✅ OK</v>
      </c>
      <c r="K9" s="107"/>
      <c r="L9" s="1"/>
      <c r="M9" s="134"/>
      <c r="N9" s="135"/>
      <c r="O9" s="3"/>
      <c r="P9" s="4"/>
      <c r="Q9" s="132"/>
      <c r="R9" s="132"/>
      <c r="S9" s="132"/>
      <c r="T9" s="132"/>
      <c r="U9" s="132"/>
      <c r="V9" s="1"/>
      <c r="W9" s="1"/>
      <c r="X9" s="1"/>
      <c r="Y9" s="1"/>
      <c r="Z9" s="1"/>
      <c r="AA9" s="1"/>
    </row>
    <row r="10" ht="51.75" customHeight="1">
      <c r="A10" s="107"/>
      <c r="B10" s="127" t="s">
        <v>59</v>
      </c>
      <c r="C10" s="222">
        <f>'DATOS CRUDOS EJEMPLO'!F24</f>
        <v>-2697</v>
      </c>
      <c r="D10" s="121">
        <f>'DATOS CRUDOS EJEMPLO'!F22</f>
        <v>-14021</v>
      </c>
      <c r="E10" s="122" t="str">
        <f t="shared" si="1"/>
        <v>🔴 NEGATIVO</v>
      </c>
      <c r="F10" s="107"/>
      <c r="H10" s="128" t="s">
        <v>20</v>
      </c>
      <c r="I10" s="136">
        <f>'DATOS CRUDOS EJEMPLO'!C30</f>
        <v>0.5269328315</v>
      </c>
      <c r="J10" s="137" t="s">
        <v>139</v>
      </c>
      <c r="K10" s="107"/>
      <c r="L10" s="1"/>
      <c r="M10" s="132"/>
      <c r="N10" s="132"/>
      <c r="O10" s="132"/>
      <c r="P10" s="132"/>
      <c r="Q10" s="132"/>
      <c r="R10" s="132"/>
      <c r="S10" s="132"/>
      <c r="T10" s="132"/>
      <c r="U10" s="132"/>
      <c r="V10" s="1"/>
      <c r="W10" s="1"/>
      <c r="X10" s="1"/>
      <c r="Y10" s="1"/>
      <c r="Z10" s="1"/>
      <c r="AA10" s="1"/>
    </row>
    <row r="11" ht="30.0" customHeight="1">
      <c r="A11" s="107"/>
      <c r="B11" s="119" t="s">
        <v>60</v>
      </c>
      <c r="C11" s="222">
        <f>'DATOS CRUDOS EJEMPLO'!G24</f>
        <v>-2966</v>
      </c>
      <c r="D11" s="121">
        <f>'DATOS CRUDOS EJEMPLO'!G22</f>
        <v>-13002</v>
      </c>
      <c r="E11" s="122" t="str">
        <f t="shared" si="1"/>
        <v>🔴 NEGATIVO</v>
      </c>
      <c r="F11" s="107"/>
      <c r="H11" s="124" t="s">
        <v>20</v>
      </c>
      <c r="I11" s="138">
        <f>'DATOS CRUDOS EJEMPLO'!C31</f>
        <v>0.8598447132</v>
      </c>
      <c r="J11" s="130" t="str">
        <f>IF(I11="","⏳ PENDIENTE", IF(I11&gt;2000,"✅ OK","🔴 Obj: 2000"))</f>
        <v>🔴 Obj: 2000</v>
      </c>
      <c r="K11" s="107"/>
      <c r="L11" s="1"/>
      <c r="M11" s="131"/>
      <c r="N11" s="131"/>
      <c r="O11" s="131"/>
      <c r="P11" s="131"/>
      <c r="Q11" s="132"/>
      <c r="R11" s="132"/>
      <c r="S11" s="132"/>
      <c r="T11" s="132"/>
      <c r="U11" s="132"/>
      <c r="V11" s="1"/>
      <c r="W11" s="1"/>
      <c r="X11" s="1"/>
      <c r="Y11" s="1"/>
      <c r="Z11" s="1"/>
      <c r="AA11" s="1"/>
    </row>
    <row r="12" ht="30.0" customHeight="1">
      <c r="A12" s="107"/>
      <c r="B12" s="127" t="s">
        <v>61</v>
      </c>
      <c r="C12" s="133">
        <f>'DATOS CRUDOS EJEMPLO'!H24</f>
        <v>-13075</v>
      </c>
      <c r="D12" s="121">
        <f>'DATOS CRUDOS EJEMPLO'!H22</f>
        <v>-289</v>
      </c>
      <c r="E12" s="122" t="str">
        <f t="shared" si="1"/>
        <v>🔴 NEGATIVO</v>
      </c>
      <c r="F12" s="107"/>
      <c r="G12" s="139" t="s">
        <v>57</v>
      </c>
      <c r="H12" s="128" t="s">
        <v>20</v>
      </c>
      <c r="I12" s="140">
        <f>'DATOS CRUDOS EJEMPLO'!D27</f>
        <v>10</v>
      </c>
      <c r="J12" s="141" t="str">
        <f>IF(I12="","⏳ PENDIENTE", IF(I12&gt;9,"✅ OK","🔴 Obj: &gt;9"))</f>
        <v>✅ OK</v>
      </c>
      <c r="K12" s="107"/>
      <c r="L12" s="1"/>
      <c r="M12" s="132"/>
      <c r="N12" s="132"/>
      <c r="O12" s="132"/>
      <c r="P12" s="132"/>
      <c r="Q12" s="132"/>
      <c r="R12" s="132"/>
      <c r="S12" s="132"/>
      <c r="T12" s="132"/>
      <c r="U12" s="132"/>
      <c r="V12" s="1"/>
      <c r="W12" s="1"/>
      <c r="X12" s="1"/>
      <c r="Y12" s="1"/>
      <c r="Z12" s="1"/>
      <c r="AA12" s="1"/>
    </row>
    <row r="13" ht="30.0" customHeight="1">
      <c r="A13" s="107"/>
      <c r="B13" s="119" t="s">
        <v>62</v>
      </c>
      <c r="C13" s="133">
        <f>'DATOS CRUDOS EJEMPLO'!I24</f>
        <v>-3505</v>
      </c>
      <c r="D13" s="121">
        <f>'DATOS CRUDOS EJEMPLO'!I22</f>
        <v>-1106</v>
      </c>
      <c r="E13" s="122" t="str">
        <f t="shared" si="1"/>
        <v>🔴 NEGATIVO</v>
      </c>
      <c r="F13" s="107"/>
      <c r="H13" s="124" t="s">
        <v>20</v>
      </c>
      <c r="I13" s="142">
        <f>'DATOS CRUDOS EJEMPLO'!D28</f>
        <v>0</v>
      </c>
      <c r="J13" s="141" t="str">
        <f>IF(I13="","⏳ PENDIENTE", IF(I13&gt;95,"✅ OK","🔴 Obj: &gt;95"))</f>
        <v>🔴 Obj: &gt;95</v>
      </c>
      <c r="K13" s="107"/>
      <c r="L13" s="107"/>
      <c r="M13" s="131"/>
      <c r="N13" s="131"/>
      <c r="O13" s="131"/>
      <c r="P13" s="131"/>
      <c r="Q13" s="132"/>
      <c r="R13" s="132"/>
      <c r="S13" s="132"/>
      <c r="T13" s="132"/>
      <c r="U13" s="132"/>
      <c r="V13" s="1"/>
      <c r="W13" s="1"/>
      <c r="X13" s="1"/>
      <c r="Y13" s="1"/>
      <c r="Z13" s="1"/>
      <c r="AA13" s="1"/>
    </row>
    <row r="14" ht="30.0" customHeight="1">
      <c r="A14" s="107"/>
      <c r="B14" s="127" t="s">
        <v>63</v>
      </c>
      <c r="C14" s="133">
        <f>'DATOS CRUDOS EJEMPLO'!J24</f>
        <v>-7761</v>
      </c>
      <c r="D14" s="121">
        <f>'DATOS CRUDOS EJEMPLO'!J22</f>
        <v>-4925</v>
      </c>
      <c r="E14" s="122" t="str">
        <f t="shared" si="1"/>
        <v>🔴 NEGATIVO</v>
      </c>
      <c r="F14" s="107"/>
      <c r="H14" s="128" t="s">
        <v>20</v>
      </c>
      <c r="I14" s="142">
        <f>'DATOS CRUDOS EJEMPLO'!D29</f>
        <v>0.157005358</v>
      </c>
      <c r="J14" s="141" t="str">
        <f>IF(I14="","⏳ PENDIENTE", IF(I14&lt;2,"✅ OK","🔴 Obj: &lt;2"))</f>
        <v>✅ OK</v>
      </c>
      <c r="K14" s="107"/>
      <c r="L14" s="1"/>
      <c r="M14" s="132"/>
      <c r="N14" s="132"/>
      <c r="O14" s="132"/>
      <c r="P14" s="132"/>
      <c r="Q14" s="132"/>
      <c r="R14" s="132"/>
      <c r="S14" s="132"/>
      <c r="T14" s="132"/>
      <c r="U14" s="132"/>
      <c r="V14" s="1"/>
      <c r="W14" s="1"/>
      <c r="X14" s="1"/>
      <c r="Y14" s="1"/>
      <c r="Z14" s="1"/>
      <c r="AA14" s="1"/>
    </row>
    <row r="15" ht="30.0" customHeight="1">
      <c r="A15" s="107"/>
      <c r="B15" s="119" t="s">
        <v>64</v>
      </c>
      <c r="C15" s="133">
        <f>'DATOS CRUDOS EJEMPLO'!K24</f>
        <v>-2173</v>
      </c>
      <c r="D15" s="121">
        <f>'DATOS CRUDOS EJEMPLO'!K22</f>
        <v>-10410</v>
      </c>
      <c r="E15" s="122" t="str">
        <f t="shared" si="1"/>
        <v>🔴 NEGATIVO</v>
      </c>
      <c r="F15" s="107"/>
      <c r="H15" s="124" t="s">
        <v>20</v>
      </c>
      <c r="I15" s="143">
        <f>'DATOS CRUDOS EJEMPLO'!D30</f>
        <v>0.1154705117</v>
      </c>
      <c r="J15" s="137" t="s">
        <v>139</v>
      </c>
      <c r="K15" s="107"/>
      <c r="L15" s="1"/>
      <c r="M15" s="132"/>
      <c r="N15" s="132"/>
      <c r="O15" s="132"/>
      <c r="P15" s="132"/>
      <c r="Q15" s="132"/>
      <c r="R15" s="132"/>
      <c r="S15" s="132"/>
      <c r="T15" s="132"/>
      <c r="U15" s="132"/>
      <c r="V15" s="1"/>
      <c r="W15" s="1"/>
      <c r="X15" s="1"/>
      <c r="Y15" s="1"/>
      <c r="Z15" s="1"/>
      <c r="AA15" s="1"/>
    </row>
    <row r="16" ht="30.0" customHeight="1">
      <c r="A16" s="107"/>
      <c r="B16" s="127" t="s">
        <v>65</v>
      </c>
      <c r="C16" s="133">
        <f>'DATOS CRUDOS EJEMPLO'!L24</f>
        <v>-10234</v>
      </c>
      <c r="D16" s="121">
        <f>'DATOS CRUDOS EJEMPLO'!L22</f>
        <v>-1439</v>
      </c>
      <c r="E16" s="122" t="str">
        <f t="shared" si="1"/>
        <v>🔴 NEGATIVO</v>
      </c>
      <c r="F16" s="107"/>
      <c r="H16" s="128" t="s">
        <v>20</v>
      </c>
      <c r="I16" s="144">
        <f>'DATOS CRUDOS EJEMPLO'!D31</f>
        <v>0.2966996625</v>
      </c>
      <c r="J16" s="141" t="str">
        <f>IF(I16="","⏳ PENDIENTE", IF(I16&gt;2000,"✅ OK","🔴 Obj: 2000"))</f>
        <v>🔴 Obj: 2000</v>
      </c>
      <c r="K16" s="107"/>
      <c r="L16" s="1"/>
      <c r="M16" s="132"/>
      <c r="N16" s="132"/>
      <c r="O16" s="132"/>
      <c r="P16" s="132"/>
      <c r="Q16" s="132"/>
      <c r="R16" s="132"/>
      <c r="S16" s="132"/>
      <c r="T16" s="132"/>
      <c r="U16" s="132"/>
      <c r="V16" s="1"/>
      <c r="W16" s="1"/>
      <c r="X16" s="1"/>
      <c r="Y16" s="1"/>
      <c r="Z16" s="1"/>
      <c r="AA16" s="1"/>
    </row>
    <row r="17" ht="30.0" customHeight="1">
      <c r="A17" s="107"/>
      <c r="B17" s="119" t="s">
        <v>66</v>
      </c>
      <c r="C17" s="133">
        <f>'DATOS CRUDOS EJEMPLO'!M24</f>
        <v>-3325</v>
      </c>
      <c r="D17" s="121">
        <f>'DATOS CRUDOS EJEMPLO'!M22</f>
        <v>-4200</v>
      </c>
      <c r="E17" s="122" t="str">
        <f t="shared" si="1"/>
        <v>🔴 NEGATIVO</v>
      </c>
      <c r="F17" s="107"/>
      <c r="G17" s="123" t="s">
        <v>58</v>
      </c>
      <c r="H17" s="124" t="s">
        <v>20</v>
      </c>
      <c r="I17" s="140">
        <f>'DATOS CRUDOS EJEMPLO'!E27</f>
        <v>8</v>
      </c>
      <c r="J17" s="141" t="str">
        <f>IF(I17="","⏳ PENDIENTE", IF(I17&gt;9,"✅ OK","🔴 Obj: &gt;9"))</f>
        <v>🔴 Obj: &gt;9</v>
      </c>
      <c r="K17" s="10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30.0" customHeight="1">
      <c r="A18" s="107"/>
      <c r="B18" s="127" t="s">
        <v>67</v>
      </c>
      <c r="C18" s="133">
        <f>'DATOS CRUDOS EJEMPLO'!N24</f>
        <v>-6853</v>
      </c>
      <c r="D18" s="121">
        <f>'DATOS CRUDOS EJEMPLO'!N22</f>
        <v>-14806</v>
      </c>
      <c r="E18" s="122" t="str">
        <f t="shared" si="1"/>
        <v>🔴 NEGATIVO</v>
      </c>
      <c r="F18" s="107"/>
      <c r="H18" s="128" t="s">
        <v>20</v>
      </c>
      <c r="I18" s="142">
        <f>'DATOS CRUDOS EJEMPLO'!E28</f>
        <v>0</v>
      </c>
      <c r="J18" s="141" t="str">
        <f>IF(I18="","⏳ PENDIENTE", IF(I18&gt;95,"✅ OK","🔴 Obj: &gt;95"))</f>
        <v>🔴 Obj: &gt;95</v>
      </c>
      <c r="K18" s="10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30.0" customHeight="1">
      <c r="A19" s="107"/>
      <c r="B19" s="223" t="s">
        <v>22</v>
      </c>
      <c r="C19" s="19"/>
      <c r="D19" s="146" t="str">
        <f>'OT: SEG. Mensual'!N5</f>
        <v>#REF!</v>
      </c>
      <c r="E19" s="147"/>
      <c r="F19" s="107"/>
      <c r="H19" s="124" t="s">
        <v>20</v>
      </c>
      <c r="I19" s="142">
        <f>'DATOS CRUDOS EJEMPLO'!E29</f>
        <v>0.3078198161</v>
      </c>
      <c r="J19" s="141" t="str">
        <f>IF(I19="","⏳ PENDIENTE", IF(I19&lt;2,"✅ OK","🔴 Obj: &lt;2"))</f>
        <v>✅ OK</v>
      </c>
      <c r="K19" s="10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30.0" customHeight="1">
      <c r="A20" s="107"/>
      <c r="B20" s="108"/>
      <c r="C20" s="108"/>
      <c r="D20" s="148"/>
      <c r="E20" s="108"/>
      <c r="F20" s="107"/>
      <c r="H20" s="128" t="s">
        <v>20</v>
      </c>
      <c r="I20" s="149">
        <f>'DATOS CRUDOS EJEMPLO'!E30</f>
        <v>0.8134371135</v>
      </c>
      <c r="J20" s="137" t="s">
        <v>139</v>
      </c>
      <c r="K20" s="10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30.0" customHeight="1">
      <c r="A21" s="107"/>
      <c r="B21" s="108"/>
      <c r="C21" s="108"/>
      <c r="D21" s="148"/>
      <c r="E21" s="108"/>
      <c r="F21" s="107"/>
      <c r="H21" s="124" t="s">
        <v>20</v>
      </c>
      <c r="I21" s="140">
        <f>'DATOS CRUDOS EJEMPLO'!E31</f>
        <v>0.3693631743</v>
      </c>
      <c r="J21" s="141" t="str">
        <f>IF(I21="","⏳ PENDIENTE", IF(I21&gt;2000,"✅ OK","🔴 Obj: 2000"))</f>
        <v>🔴 Obj: 2000</v>
      </c>
      <c r="K21" s="10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30.0" customHeight="1">
      <c r="A22" s="107"/>
      <c r="B22" s="108"/>
      <c r="C22" s="108"/>
      <c r="D22" s="148"/>
      <c r="E22" s="108"/>
      <c r="F22" s="107"/>
      <c r="G22" s="139" t="s">
        <v>59</v>
      </c>
      <c r="H22" s="128" t="s">
        <v>20</v>
      </c>
      <c r="I22" s="140">
        <f>'DATOS CRUDOS EJEMPLO'!F27</f>
        <v>5</v>
      </c>
      <c r="J22" s="141" t="str">
        <f>IF(I22="","⏳ PENDIENTE", IF(I22&gt;9,"✅ OK","🔴 Obj: &gt;9"))</f>
        <v>🔴 Obj: &gt;9</v>
      </c>
      <c r="K22" s="10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30.0" customHeight="1">
      <c r="A23" s="107"/>
      <c r="B23" s="108"/>
      <c r="C23" s="108"/>
      <c r="D23" s="148"/>
      <c r="E23" s="108"/>
      <c r="F23" s="107"/>
      <c r="H23" s="124" t="s">
        <v>20</v>
      </c>
      <c r="I23" s="142">
        <f>'DATOS CRUDOS EJEMPLO'!F28</f>
        <v>1</v>
      </c>
      <c r="J23" s="141" t="str">
        <f>IF(I23="","⏳ PENDIENTE", IF(I23&gt;95,"✅ OK","🔴 Obj: &gt;95"))</f>
        <v>🔴 Obj: &gt;95</v>
      </c>
      <c r="K23" s="10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30.0" customHeight="1">
      <c r="A24" s="107"/>
      <c r="B24" s="108"/>
      <c r="C24" s="108"/>
      <c r="D24" s="148"/>
      <c r="E24" s="108"/>
      <c r="F24" s="107"/>
      <c r="H24" s="128" t="s">
        <v>20</v>
      </c>
      <c r="I24" s="142">
        <f>'DATOS CRUDOS EJEMPLO'!F29</f>
        <v>0.7444188675</v>
      </c>
      <c r="J24" s="141" t="str">
        <f>IF(I24="","⏳ PENDIENTE", IF(I24&lt;2,"✅ OK","🔴 Obj: &lt;2"))</f>
        <v>✅ OK</v>
      </c>
      <c r="K24" s="10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30.0" customHeight="1">
      <c r="A25" s="107"/>
      <c r="B25" s="108"/>
      <c r="C25" s="108"/>
      <c r="D25" s="148"/>
      <c r="E25" s="108"/>
      <c r="F25" s="107"/>
      <c r="H25" s="124" t="s">
        <v>20</v>
      </c>
      <c r="I25" s="149">
        <f>'DATOS CRUDOS EJEMPLO'!F30</f>
        <v>0.210307323</v>
      </c>
      <c r="J25" s="137" t="s">
        <v>139</v>
      </c>
      <c r="K25" s="10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30.0" customHeight="1">
      <c r="A26" s="107"/>
      <c r="B26" s="108"/>
      <c r="C26" s="108"/>
      <c r="D26" s="148"/>
      <c r="E26" s="108"/>
      <c r="F26" s="107"/>
      <c r="H26" s="128" t="s">
        <v>20</v>
      </c>
      <c r="I26" s="140">
        <f>'DATOS CRUDOS EJEMPLO'!F31</f>
        <v>0.2397727399</v>
      </c>
      <c r="J26" s="141" t="str">
        <f>IF(I26="","⏳ PENDIENTE", IF(I26&gt;2000,"✅ OK","🔴 Obj: 2000"))</f>
        <v>🔴 Obj: 2000</v>
      </c>
      <c r="K26" s="10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30.0" customHeight="1">
      <c r="A27" s="107"/>
      <c r="B27" s="108"/>
      <c r="C27" s="108"/>
      <c r="D27" s="148"/>
      <c r="E27" s="108"/>
      <c r="F27" s="107"/>
      <c r="G27" s="123" t="s">
        <v>60</v>
      </c>
      <c r="H27" s="124" t="s">
        <v>20</v>
      </c>
      <c r="I27" s="140">
        <f>'DATOS CRUDOS EJEMPLO'!G27</f>
        <v>9</v>
      </c>
      <c r="J27" s="141" t="str">
        <f>IF(I27="","⏳ PENDIENTE", IF(I27&gt;9,"✅ OK","🔴 Obj: &gt;9"))</f>
        <v>🔴 Obj: &gt;9</v>
      </c>
      <c r="K27" s="10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30.0" customHeight="1">
      <c r="A28" s="107"/>
      <c r="B28" s="108"/>
      <c r="C28" s="108"/>
      <c r="D28" s="148"/>
      <c r="E28" s="108"/>
      <c r="F28" s="107"/>
      <c r="H28" s="128" t="s">
        <v>20</v>
      </c>
      <c r="I28" s="142">
        <f>'DATOS CRUDOS EJEMPLO'!G28</f>
        <v>1</v>
      </c>
      <c r="J28" s="141" t="str">
        <f>IF(I28="","⏳ PENDIENTE", IF(I28&gt;95,"✅ OK","🔴 Obj: &gt;95"))</f>
        <v>🔴 Obj: &gt;95</v>
      </c>
      <c r="K28" s="10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30.0" customHeight="1">
      <c r="A29" s="107"/>
      <c r="B29" s="108"/>
      <c r="C29" s="108"/>
      <c r="D29" s="148"/>
      <c r="E29" s="108"/>
      <c r="F29" s="107"/>
      <c r="H29" s="124" t="s">
        <v>20</v>
      </c>
      <c r="I29" s="142">
        <f>'DATOS CRUDOS EJEMPLO'!G29</f>
        <v>0.06336246232</v>
      </c>
      <c r="J29" s="141" t="str">
        <f>IF(I29="","⏳ PENDIENTE", IF(I29&lt;2,"✅ OK","🔴 Obj: &lt;2"))</f>
        <v>✅ OK</v>
      </c>
      <c r="K29" s="10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30.0" customHeight="1">
      <c r="A30" s="107"/>
      <c r="B30" s="108"/>
      <c r="C30" s="108"/>
      <c r="D30" s="148"/>
      <c r="E30" s="108"/>
      <c r="F30" s="107"/>
      <c r="H30" s="128" t="s">
        <v>20</v>
      </c>
      <c r="I30" s="149">
        <f>'DATOS CRUDOS EJEMPLO'!G30</f>
        <v>0.4490094651</v>
      </c>
      <c r="J30" s="137" t="s">
        <v>139</v>
      </c>
      <c r="K30" s="10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30.0" customHeight="1">
      <c r="A31" s="107"/>
      <c r="B31" s="108"/>
      <c r="C31" s="108"/>
      <c r="D31" s="148"/>
      <c r="E31" s="108"/>
      <c r="F31" s="107"/>
      <c r="H31" s="124" t="s">
        <v>20</v>
      </c>
      <c r="I31" s="140">
        <f>'DATOS CRUDOS EJEMPLO'!G31</f>
        <v>0.6023304236</v>
      </c>
      <c r="J31" s="141" t="str">
        <f>IF(I31="","⏳ PENDIENTE", IF(I31&gt;2000,"✅ OK","🔴 Obj: 2000"))</f>
        <v>🔴 Obj: 2000</v>
      </c>
      <c r="K31" s="10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30.0" customHeight="1">
      <c r="A32" s="107"/>
      <c r="B32" s="108"/>
      <c r="C32" s="108"/>
      <c r="D32" s="148"/>
      <c r="E32" s="108"/>
      <c r="F32" s="107"/>
      <c r="G32" s="139" t="s">
        <v>61</v>
      </c>
      <c r="H32" s="128" t="s">
        <v>20</v>
      </c>
      <c r="I32" s="140">
        <f>'DATOS CRUDOS EJEMPLO'!H27</f>
        <v>0</v>
      </c>
      <c r="J32" s="141" t="str">
        <f>IF(I32="","⏳ PENDIENTE", IF(I32&gt;9,"✅ OK","🔴 Obj: &gt;9"))</f>
        <v>🔴 Obj: &gt;9</v>
      </c>
      <c r="K32" s="10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30.0" customHeight="1">
      <c r="A33" s="107"/>
      <c r="B33" s="108"/>
      <c r="C33" s="108"/>
      <c r="D33" s="148"/>
      <c r="E33" s="108"/>
      <c r="F33" s="107"/>
      <c r="H33" s="124" t="s">
        <v>20</v>
      </c>
      <c r="I33" s="142">
        <f>'DATOS CRUDOS EJEMPLO'!H28</f>
        <v>1</v>
      </c>
      <c r="J33" s="141" t="str">
        <f>IF(I33="","⏳ PENDIENTE", IF(I33&gt;95,"✅ OK","🔴 Obj: &gt;95"))</f>
        <v>🔴 Obj: &gt;95</v>
      </c>
      <c r="K33" s="10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30.0" customHeight="1">
      <c r="A34" s="107"/>
      <c r="B34" s="108"/>
      <c r="C34" s="108"/>
      <c r="D34" s="148"/>
      <c r="E34" s="108"/>
      <c r="F34" s="107"/>
      <c r="H34" s="128" t="s">
        <v>20</v>
      </c>
      <c r="I34" s="142">
        <f>'DATOS CRUDOS EJEMPLO'!H29</f>
        <v>0.02196226615</v>
      </c>
      <c r="J34" s="141" t="str">
        <f>IF(I34="","⏳ PENDIENTE", IF(I34&lt;2,"✅ OK","🔴 Obj: &lt;2"))</f>
        <v>✅ OK</v>
      </c>
      <c r="K34" s="10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30.0" customHeight="1">
      <c r="A35" s="107"/>
      <c r="B35" s="108"/>
      <c r="C35" s="108"/>
      <c r="D35" s="148"/>
      <c r="E35" s="108"/>
      <c r="F35" s="107"/>
      <c r="H35" s="124" t="s">
        <v>20</v>
      </c>
      <c r="I35" s="149">
        <f>'DATOS CRUDOS EJEMPLO'!H30</f>
        <v>0.6415954223</v>
      </c>
      <c r="J35" s="137" t="s">
        <v>139</v>
      </c>
      <c r="K35" s="10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30.0" customHeight="1">
      <c r="A36" s="107"/>
      <c r="B36" s="108"/>
      <c r="C36" s="108"/>
      <c r="D36" s="148"/>
      <c r="E36" s="108"/>
      <c r="F36" s="107"/>
      <c r="H36" s="128" t="s">
        <v>20</v>
      </c>
      <c r="I36" s="140">
        <f>'DATOS CRUDOS EJEMPLO'!H31</f>
        <v>0.7117405812</v>
      </c>
      <c r="J36" s="141" t="str">
        <f>IF(I36="","⏳ PENDIENTE", IF(I36&gt;2000,"✅ OK","🔴 Obj: 2000"))</f>
        <v>🔴 Obj: 2000</v>
      </c>
      <c r="K36" s="10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30.0" customHeight="1">
      <c r="A37" s="107"/>
      <c r="B37" s="108"/>
      <c r="C37" s="108"/>
      <c r="D37" s="148"/>
      <c r="E37" s="108"/>
      <c r="F37" s="107"/>
      <c r="G37" s="123" t="s">
        <v>62</v>
      </c>
      <c r="H37" s="124" t="s">
        <v>20</v>
      </c>
      <c r="I37" s="140">
        <f>'DATOS CRUDOS EJEMPLO'!I27</f>
        <v>9</v>
      </c>
      <c r="J37" s="141" t="str">
        <f>IF(I37="","⏳ PENDIENTE", IF(I37&gt;9,"✅ OK","🔴 Obj: &gt;9"))</f>
        <v>🔴 Obj: &gt;9</v>
      </c>
      <c r="K37" s="10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30.0" customHeight="1">
      <c r="A38" s="107"/>
      <c r="B38" s="108"/>
      <c r="C38" s="108"/>
      <c r="D38" s="148"/>
      <c r="E38" s="108"/>
      <c r="F38" s="107"/>
      <c r="H38" s="128" t="s">
        <v>20</v>
      </c>
      <c r="I38" s="142">
        <f>'DATOS CRUDOS EJEMPLO'!I28</f>
        <v>0</v>
      </c>
      <c r="J38" s="141" t="str">
        <f>IF(I38="","⏳ PENDIENTE", IF(I38&gt;95,"✅ OK","🔴 Obj: &gt;95"))</f>
        <v>🔴 Obj: &gt;95</v>
      </c>
      <c r="K38" s="10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30.0" customHeight="1">
      <c r="A39" s="107"/>
      <c r="B39" s="108"/>
      <c r="C39" s="108"/>
      <c r="D39" s="148"/>
      <c r="E39" s="108"/>
      <c r="F39" s="107"/>
      <c r="H39" s="124" t="s">
        <v>20</v>
      </c>
      <c r="I39" s="142">
        <f>'DATOS CRUDOS EJEMPLO'!I29</f>
        <v>0.5799612074</v>
      </c>
      <c r="J39" s="141" t="str">
        <f>IF(I39="","⏳ PENDIENTE", IF(I39&lt;2,"✅ OK","🔴 Obj: &lt;2"))</f>
        <v>✅ OK</v>
      </c>
      <c r="K39" s="10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30.0" customHeight="1">
      <c r="A40" s="107"/>
      <c r="B40" s="108"/>
      <c r="C40" s="108"/>
      <c r="D40" s="148"/>
      <c r="E40" s="108"/>
      <c r="F40" s="107"/>
      <c r="H40" s="128" t="s">
        <v>20</v>
      </c>
      <c r="I40" s="149">
        <f>'DATOS CRUDOS EJEMPLO'!I30</f>
        <v>0.6033028621</v>
      </c>
      <c r="J40" s="137" t="s">
        <v>139</v>
      </c>
      <c r="K40" s="10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30.0" customHeight="1">
      <c r="A41" s="107"/>
      <c r="B41" s="108"/>
      <c r="C41" s="108"/>
      <c r="D41" s="148"/>
      <c r="E41" s="108"/>
      <c r="F41" s="107"/>
      <c r="H41" s="124" t="s">
        <v>20</v>
      </c>
      <c r="I41" s="140">
        <f>'DATOS CRUDOS EJEMPLO'!I31</f>
        <v>0.7703726062</v>
      </c>
      <c r="J41" s="141" t="str">
        <f>IF(I41="","⏳ PENDIENTE", IF(I41&gt;2000,"✅ OK","🔴 Obj: 2000"))</f>
        <v>🔴 Obj: 2000</v>
      </c>
      <c r="K41" s="10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30.0" customHeight="1">
      <c r="A42" s="107"/>
      <c r="B42" s="108"/>
      <c r="C42" s="108"/>
      <c r="D42" s="148"/>
      <c r="E42" s="108"/>
      <c r="F42" s="107"/>
      <c r="G42" s="139" t="s">
        <v>63</v>
      </c>
      <c r="H42" s="128" t="s">
        <v>20</v>
      </c>
      <c r="I42" s="140">
        <f>'DATOS CRUDOS EJEMPLO'!J27</f>
        <v>9</v>
      </c>
      <c r="J42" s="141" t="str">
        <f>IF(I42="","⏳ PENDIENTE", IF(I42&gt;9,"✅ OK","🔴 Obj: &gt;9"))</f>
        <v>🔴 Obj: &gt;9</v>
      </c>
      <c r="K42" s="10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30.0" customHeight="1">
      <c r="A43" s="107"/>
      <c r="B43" s="108"/>
      <c r="C43" s="108"/>
      <c r="D43" s="148"/>
      <c r="E43" s="108"/>
      <c r="F43" s="107"/>
      <c r="H43" s="124" t="s">
        <v>20</v>
      </c>
      <c r="I43" s="142">
        <f>'DATOS CRUDOS EJEMPLO'!J28</f>
        <v>1</v>
      </c>
      <c r="J43" s="141" t="str">
        <f>IF(I43="","⏳ PENDIENTE", IF(I43&gt;95,"✅ OK","🔴 Obj: &gt;95"))</f>
        <v>🔴 Obj: &gt;95</v>
      </c>
      <c r="K43" s="10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30.0" customHeight="1">
      <c r="A44" s="107"/>
      <c r="B44" s="108"/>
      <c r="C44" s="108"/>
      <c r="D44" s="148"/>
      <c r="E44" s="108"/>
      <c r="F44" s="107"/>
      <c r="H44" s="128" t="s">
        <v>20</v>
      </c>
      <c r="I44" s="142">
        <f>'DATOS CRUDOS EJEMPLO'!J29</f>
        <v>0.3370885953</v>
      </c>
      <c r="J44" s="141" t="str">
        <f>IF(I44="","⏳ PENDIENTE", IF(I44&lt;2,"✅ OK","🔴 Obj: &lt;2"))</f>
        <v>✅ OK</v>
      </c>
      <c r="K44" s="10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30.0" customHeight="1">
      <c r="A45" s="107"/>
      <c r="B45" s="108"/>
      <c r="C45" s="108"/>
      <c r="D45" s="148"/>
      <c r="E45" s="108"/>
      <c r="F45" s="107"/>
      <c r="H45" s="124" t="s">
        <v>20</v>
      </c>
      <c r="I45" s="149">
        <f>'DATOS CRUDOS EJEMPLO'!J30</f>
        <v>0.1891275356</v>
      </c>
      <c r="J45" s="137" t="s">
        <v>139</v>
      </c>
      <c r="K45" s="10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30.0" customHeight="1">
      <c r="A46" s="107"/>
      <c r="B46" s="108"/>
      <c r="C46" s="108"/>
      <c r="D46" s="148"/>
      <c r="E46" s="108"/>
      <c r="F46" s="107"/>
      <c r="H46" s="128" t="s">
        <v>20</v>
      </c>
      <c r="I46" s="140">
        <f>'DATOS CRUDOS EJEMPLO'!J31</f>
        <v>0.3481802801</v>
      </c>
      <c r="J46" s="141" t="str">
        <f>IF(I46="","⏳ PENDIENTE", IF(I46&gt;2000,"✅ OK","🔴 Obj: 2000"))</f>
        <v>🔴 Obj: 2000</v>
      </c>
      <c r="K46" s="10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30.0" customHeight="1">
      <c r="A47" s="107"/>
      <c r="B47" s="108"/>
      <c r="C47" s="108"/>
      <c r="D47" s="148"/>
      <c r="E47" s="108"/>
      <c r="F47" s="107"/>
      <c r="G47" s="123" t="s">
        <v>64</v>
      </c>
      <c r="H47" s="124" t="s">
        <v>20</v>
      </c>
      <c r="I47" s="140">
        <f>'DATOS CRUDOS EJEMPLO'!K27</f>
        <v>3</v>
      </c>
      <c r="J47" s="141" t="str">
        <f>IF(I47="","⏳ PENDIENTE", IF(I47&gt;9,"✅ OK","🔴 Obj: &gt;9"))</f>
        <v>🔴 Obj: &gt;9</v>
      </c>
      <c r="K47" s="10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30.0" customHeight="1">
      <c r="A48" s="107"/>
      <c r="B48" s="108"/>
      <c r="C48" s="108"/>
      <c r="D48" s="148"/>
      <c r="E48" s="108"/>
      <c r="F48" s="107"/>
      <c r="H48" s="128" t="s">
        <v>20</v>
      </c>
      <c r="I48" s="142">
        <f>'DATOS CRUDOS EJEMPLO'!K28</f>
        <v>1</v>
      </c>
      <c r="J48" s="141" t="str">
        <f>IF(I48="","⏳ PENDIENTE", IF(I48&gt;95,"✅ OK","🔴 Obj: &gt;95"))</f>
        <v>🔴 Obj: &gt;95</v>
      </c>
      <c r="K48" s="10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30.0" customHeight="1">
      <c r="A49" s="107"/>
      <c r="B49" s="108"/>
      <c r="C49" s="108"/>
      <c r="D49" s="148"/>
      <c r="E49" s="108"/>
      <c r="F49" s="107"/>
      <c r="H49" s="124" t="s">
        <v>20</v>
      </c>
      <c r="I49" s="142">
        <f>'DATOS CRUDOS EJEMPLO'!K29</f>
        <v>0.1378731726</v>
      </c>
      <c r="J49" s="141" t="str">
        <f>IF(I49="","⏳ PENDIENTE", IF(I49&lt;2,"✅ OK","🔴 Obj: &lt;2"))</f>
        <v>✅ OK</v>
      </c>
      <c r="K49" s="10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30.0" customHeight="1">
      <c r="A50" s="107"/>
      <c r="B50" s="108"/>
      <c r="C50" s="108"/>
      <c r="D50" s="148"/>
      <c r="E50" s="108"/>
      <c r="F50" s="107"/>
      <c r="H50" s="128" t="s">
        <v>20</v>
      </c>
      <c r="I50" s="149">
        <f>'DATOS CRUDOS EJEMPLO'!K30</f>
        <v>0.4661842126</v>
      </c>
      <c r="J50" s="137" t="s">
        <v>139</v>
      </c>
      <c r="K50" s="10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30.0" customHeight="1">
      <c r="A51" s="107"/>
      <c r="B51" s="108"/>
      <c r="C51" s="108"/>
      <c r="D51" s="148"/>
      <c r="E51" s="108"/>
      <c r="F51" s="107"/>
      <c r="H51" s="124" t="s">
        <v>20</v>
      </c>
      <c r="I51" s="140">
        <f>'DATOS CRUDOS EJEMPLO'!K31</f>
        <v>0.02368538711</v>
      </c>
      <c r="J51" s="141" t="str">
        <f>IF(I51="","⏳ PENDIENTE", IF(I51&gt;2000,"✅ OK","🔴 Obj: 2000"))</f>
        <v>🔴 Obj: 2000</v>
      </c>
      <c r="K51" s="10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30.0" customHeight="1">
      <c r="A52" s="107"/>
      <c r="B52" s="108"/>
      <c r="C52" s="108"/>
      <c r="D52" s="148"/>
      <c r="E52" s="108"/>
      <c r="F52" s="107"/>
      <c r="G52" s="139" t="s">
        <v>65</v>
      </c>
      <c r="H52" s="128" t="s">
        <v>20</v>
      </c>
      <c r="I52" s="140">
        <f>'DATOS CRUDOS EJEMPLO'!L27</f>
        <v>4</v>
      </c>
      <c r="J52" s="141" t="str">
        <f>IF(I52="","⏳ PENDIENTE", IF(I52&gt;9,"✅ OK","🔴 Obj: &gt;9"))</f>
        <v>🔴 Obj: &gt;9</v>
      </c>
      <c r="K52" s="10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30.0" customHeight="1">
      <c r="A53" s="107"/>
      <c r="B53" s="108"/>
      <c r="C53" s="108"/>
      <c r="D53" s="148"/>
      <c r="E53" s="108"/>
      <c r="F53" s="107"/>
      <c r="H53" s="124" t="s">
        <v>20</v>
      </c>
      <c r="I53" s="142">
        <f>'DATOS CRUDOS EJEMPLO'!L28</f>
        <v>1</v>
      </c>
      <c r="J53" s="141" t="str">
        <f>IF(I53="","⏳ PENDIENTE", IF(I53&gt;95,"✅ OK","🔴 Obj: &gt;95"))</f>
        <v>🔴 Obj: &gt;95</v>
      </c>
      <c r="K53" s="10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30.0" customHeight="1">
      <c r="A54" s="107"/>
      <c r="B54" s="108"/>
      <c r="C54" s="108"/>
      <c r="D54" s="148"/>
      <c r="E54" s="108"/>
      <c r="F54" s="107"/>
      <c r="H54" s="128" t="s">
        <v>20</v>
      </c>
      <c r="I54" s="142">
        <f>'DATOS CRUDOS EJEMPLO'!L29</f>
        <v>0.8201474227</v>
      </c>
      <c r="J54" s="141" t="str">
        <f>IF(I54="","⏳ PENDIENTE", IF(I54&lt;2,"✅ OK","🔴 Obj: &lt;2"))</f>
        <v>✅ OK</v>
      </c>
      <c r="K54" s="10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30.0" customHeight="1">
      <c r="A55" s="107"/>
      <c r="B55" s="108"/>
      <c r="C55" s="108"/>
      <c r="D55" s="148"/>
      <c r="E55" s="108"/>
      <c r="F55" s="107"/>
      <c r="H55" s="124" t="s">
        <v>20</v>
      </c>
      <c r="I55" s="149">
        <f>'DATOS CRUDOS EJEMPLO'!L30</f>
        <v>0.4171755443</v>
      </c>
      <c r="J55" s="137" t="s">
        <v>139</v>
      </c>
      <c r="K55" s="10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30.0" customHeight="1">
      <c r="A56" s="107"/>
      <c r="B56" s="108"/>
      <c r="C56" s="108"/>
      <c r="D56" s="148"/>
      <c r="E56" s="108"/>
      <c r="F56" s="107"/>
      <c r="H56" s="128" t="s">
        <v>20</v>
      </c>
      <c r="I56" s="140">
        <f>'DATOS CRUDOS EJEMPLO'!L31</f>
        <v>0.7709936269</v>
      </c>
      <c r="J56" s="141" t="str">
        <f>IF(I56="","⏳ PENDIENTE", IF(I56&gt;2000,"✅ OK","🔴 Obj: 2000"))</f>
        <v>🔴 Obj: 2000</v>
      </c>
      <c r="K56" s="10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30.0" customHeight="1">
      <c r="A57" s="107"/>
      <c r="B57" s="108"/>
      <c r="C57" s="108"/>
      <c r="D57" s="148"/>
      <c r="E57" s="108"/>
      <c r="F57" s="107"/>
      <c r="G57" s="123" t="s">
        <v>141</v>
      </c>
      <c r="H57" s="124" t="s">
        <v>20</v>
      </c>
      <c r="I57" s="140">
        <f>'DATOS CRUDOS EJEMPLO'!M27</f>
        <v>3</v>
      </c>
      <c r="J57" s="141" t="str">
        <f>IF(I57="","⏳ PENDIENTE", IF(I57&gt;9,"✅ OK","🔴 Obj: &gt;9"))</f>
        <v>🔴 Obj: &gt;9</v>
      </c>
      <c r="K57" s="10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30.0" customHeight="1">
      <c r="A58" s="107"/>
      <c r="B58" s="108"/>
      <c r="C58" s="108"/>
      <c r="D58" s="148"/>
      <c r="E58" s="108"/>
      <c r="F58" s="107"/>
      <c r="H58" s="128" t="s">
        <v>20</v>
      </c>
      <c r="I58" s="142">
        <f>'DATOS CRUDOS EJEMPLO'!M28</f>
        <v>0</v>
      </c>
      <c r="J58" s="141" t="str">
        <f>IF(I58="","⏳ PENDIENTE", IF(I58&gt;95,"✅ OK","🔴 Obj: &gt;95"))</f>
        <v>🔴 Obj: &gt;95</v>
      </c>
      <c r="K58" s="10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30.0" customHeight="1">
      <c r="A59" s="107"/>
      <c r="B59" s="108"/>
      <c r="C59" s="108"/>
      <c r="D59" s="148"/>
      <c r="E59" s="108"/>
      <c r="F59" s="107"/>
      <c r="H59" s="124" t="s">
        <v>20</v>
      </c>
      <c r="I59" s="142">
        <f>'DATOS CRUDOS EJEMPLO'!M29</f>
        <v>0.7093214068</v>
      </c>
      <c r="J59" s="141" t="str">
        <f>IF(I59="","⏳ PENDIENTE", IF(I59&lt;2,"✅ OK","🔴 Obj: &lt;2"))</f>
        <v>✅ OK</v>
      </c>
      <c r="K59" s="10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30.0" customHeight="1">
      <c r="A60" s="107"/>
      <c r="B60" s="108"/>
      <c r="C60" s="108"/>
      <c r="D60" s="148"/>
      <c r="E60" s="108"/>
      <c r="F60" s="107"/>
      <c r="H60" s="128" t="s">
        <v>20</v>
      </c>
      <c r="I60" s="149">
        <f>'DATOS CRUDOS EJEMPLO'!M30</f>
        <v>0.2133700509</v>
      </c>
      <c r="J60" s="137" t="s">
        <v>139</v>
      </c>
      <c r="K60" s="10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30.0" customHeight="1">
      <c r="A61" s="107"/>
      <c r="B61" s="108"/>
      <c r="C61" s="108"/>
      <c r="D61" s="148"/>
      <c r="E61" s="108"/>
      <c r="F61" s="107"/>
      <c r="H61" s="124" t="s">
        <v>20</v>
      </c>
      <c r="I61" s="140">
        <f>'DATOS CRUDOS EJEMPLO'!M31</f>
        <v>0.9324812607</v>
      </c>
      <c r="J61" s="141" t="str">
        <f>IF(I61="","⏳ PENDIENTE", IF(I61&gt;2000,"✅ OK","🔴 Obj: 2000"))</f>
        <v>🔴 Obj: 2000</v>
      </c>
      <c r="K61" s="10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30.0" customHeight="1">
      <c r="A62" s="107"/>
      <c r="B62" s="108"/>
      <c r="C62" s="108"/>
      <c r="D62" s="148"/>
      <c r="E62" s="108"/>
      <c r="F62" s="107"/>
      <c r="G62" s="139" t="s">
        <v>67</v>
      </c>
      <c r="H62" s="128" t="s">
        <v>20</v>
      </c>
      <c r="I62" s="140">
        <f>'DATOS CRUDOS EJEMPLO'!N27</f>
        <v>7</v>
      </c>
      <c r="J62" s="141" t="str">
        <f>IF(I62="","⏳ PENDIENTE", IF(I62&gt;9,"✅ OK","🔴 Obj: &gt;9"))</f>
        <v>🔴 Obj: &gt;9</v>
      </c>
      <c r="K62" s="10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30.0" customHeight="1">
      <c r="A63" s="107"/>
      <c r="B63" s="108"/>
      <c r="C63" s="108"/>
      <c r="D63" s="148"/>
      <c r="E63" s="108"/>
      <c r="F63" s="107"/>
      <c r="H63" s="124" t="s">
        <v>20</v>
      </c>
      <c r="I63" s="142">
        <f>'DATOS CRUDOS EJEMPLO'!N28</f>
        <v>1</v>
      </c>
      <c r="J63" s="141" t="str">
        <f>IF(I63="","⏳ PENDIENTE", IF(I63&gt;95,"✅ OK","🔴 Obj: &gt;95"))</f>
        <v>🔴 Obj: &gt;95</v>
      </c>
      <c r="K63" s="10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30.0" customHeight="1">
      <c r="A64" s="107"/>
      <c r="B64" s="108"/>
      <c r="C64" s="108"/>
      <c r="D64" s="148"/>
      <c r="E64" s="108"/>
      <c r="F64" s="107"/>
      <c r="H64" s="128" t="s">
        <v>20</v>
      </c>
      <c r="I64" s="142">
        <f>'DATOS CRUDOS EJEMPLO'!N29</f>
        <v>0.4452188578</v>
      </c>
      <c r="J64" s="141" t="str">
        <f>IF(I64="","⏳ PENDIENTE", IF(I64&lt;2,"✅ OK","🔴 Obj: &lt;2"))</f>
        <v>✅ OK</v>
      </c>
      <c r="K64" s="10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30.0" customHeight="1">
      <c r="A65" s="107"/>
      <c r="B65" s="108"/>
      <c r="C65" s="108"/>
      <c r="D65" s="148"/>
      <c r="E65" s="108"/>
      <c r="F65" s="107"/>
      <c r="H65" s="124" t="s">
        <v>20</v>
      </c>
      <c r="I65" s="149">
        <f>'DATOS CRUDOS EJEMPLO'!N30</f>
        <v>0.3596546259</v>
      </c>
      <c r="J65" s="137" t="s">
        <v>139</v>
      </c>
      <c r="K65" s="10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30.0" customHeight="1">
      <c r="A66" s="107"/>
      <c r="B66" s="108"/>
      <c r="C66" s="108"/>
      <c r="D66" s="148"/>
      <c r="E66" s="108"/>
      <c r="F66" s="107"/>
      <c r="H66" s="128" t="s">
        <v>20</v>
      </c>
      <c r="I66" s="140">
        <f>'DATOS CRUDOS EJEMPLO'!N31</f>
        <v>0.6137735131</v>
      </c>
      <c r="J66" s="141" t="str">
        <f>IF(I66="","⏳ PENDIENTE", IF(I66&gt;2000,"✅ OK","🔴 Obj: 2000"))</f>
        <v>🔴 Obj: 2000</v>
      </c>
      <c r="K66" s="10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27.75" customHeight="1">
      <c r="A67" s="107"/>
      <c r="B67" s="108"/>
      <c r="C67" s="108"/>
      <c r="D67" s="108"/>
      <c r="E67" s="108"/>
      <c r="F67" s="107"/>
      <c r="G67" s="1"/>
      <c r="H67" s="1"/>
      <c r="I67" s="1"/>
      <c r="J67" s="1"/>
      <c r="K67" s="10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9.5" customHeight="1">
      <c r="A68" s="107"/>
      <c r="B68" s="108"/>
      <c r="C68" s="108"/>
      <c r="D68" s="108"/>
      <c r="E68" s="108"/>
      <c r="F68" s="107"/>
      <c r="G68" s="1"/>
      <c r="H68" s="1"/>
      <c r="I68" s="1"/>
      <c r="J68" s="1"/>
      <c r="K68" s="10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60.0" customHeight="1">
      <c r="A69" s="107"/>
      <c r="B69" s="108"/>
      <c r="C69" s="108"/>
      <c r="D69" s="108"/>
      <c r="E69" s="108"/>
      <c r="F69" s="107"/>
      <c r="G69" s="1"/>
      <c r="H69" s="1"/>
      <c r="I69" s="1"/>
      <c r="J69" s="1"/>
      <c r="K69" s="10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27.75" customHeight="1">
      <c r="A70" s="107"/>
      <c r="B70" s="108"/>
      <c r="C70" s="108"/>
      <c r="D70" s="108"/>
      <c r="E70" s="108"/>
      <c r="F70" s="107"/>
      <c r="G70" s="1"/>
      <c r="H70" s="1"/>
      <c r="I70" s="1"/>
      <c r="J70" s="1"/>
      <c r="K70" s="10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21.75" customHeight="1">
      <c r="A71" s="107"/>
      <c r="B71" s="107"/>
      <c r="C71" s="107"/>
      <c r="D71" s="107"/>
      <c r="E71" s="107"/>
      <c r="F71" s="107"/>
      <c r="G71" s="1"/>
      <c r="H71" s="1"/>
      <c r="I71" s="1"/>
      <c r="J71" s="1"/>
      <c r="K71" s="10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27.75" customHeight="1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27.75" customHeight="1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30.0" customHeight="1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37.5" customHeight="1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9.75" customHeight="1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21.75" customHeight="1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37.5" customHeight="1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37.5" customHeight="1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9.75" customHeight="1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21.75" customHeight="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37.5" customHeight="1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37.5" customHeight="1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37.5" customHeight="1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37.5" customHeight="1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9.75" customHeight="1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7.5" customHeight="1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9">
    <mergeCell ref="G37:G41"/>
    <mergeCell ref="G12:G16"/>
    <mergeCell ref="G17:G21"/>
    <mergeCell ref="G22:G26"/>
    <mergeCell ref="G27:G31"/>
    <mergeCell ref="G32:G36"/>
    <mergeCell ref="N9:P9"/>
    <mergeCell ref="B4:E4"/>
    <mergeCell ref="G4:J4"/>
    <mergeCell ref="N4:O4"/>
    <mergeCell ref="B2:J2"/>
    <mergeCell ref="G7:G11"/>
    <mergeCell ref="M2:O2"/>
    <mergeCell ref="B19:C19"/>
    <mergeCell ref="G42:G46"/>
    <mergeCell ref="G47:G51"/>
    <mergeCell ref="G52:G56"/>
    <mergeCell ref="G57:G61"/>
    <mergeCell ref="G62:G66"/>
  </mergeCells>
  <conditionalFormatting sqref="E7:E18 E20:E70">
    <cfRule type="containsText" dxfId="2" priority="1" operator="containsText" text="pendiente">
      <formula>NOT(ISERROR(SEARCH(("pendiente"),(E7))))</formula>
    </cfRule>
  </conditionalFormatting>
  <conditionalFormatting sqref="E7:E18 E20:E70">
    <cfRule type="containsText" dxfId="3" priority="2" operator="containsText" text="negativo">
      <formula>NOT(ISERROR(SEARCH(("negativo"),(E7))))</formula>
    </cfRule>
  </conditionalFormatting>
  <conditionalFormatting sqref="E7:E18 E20:E70">
    <cfRule type="containsText" dxfId="4" priority="3" operator="containsText" text="positivo">
      <formula>NOT(ISERROR(SEARCH(("positivo"),(E7))))</formula>
    </cfRule>
  </conditionalFormatting>
  <conditionalFormatting sqref="I7 I12 I17 I22 I27 I32 I37 I42 I47 I52 I57 I62">
    <cfRule type="cellIs" dxfId="5" priority="4" operator="greaterThanOrEqual">
      <formula>9</formula>
    </cfRule>
  </conditionalFormatting>
  <conditionalFormatting sqref="I7 I12 I17 I22 I27 I32 I37 I42 I47 I52 I57 I62">
    <cfRule type="cellIs" dxfId="6" priority="5" operator="lessThan">
      <formula>9</formula>
    </cfRule>
  </conditionalFormatting>
  <conditionalFormatting sqref="I7 I12 I17 I22 I27 I32 I37 I42 I47 I52 I57 I62">
    <cfRule type="containsBlanks" dxfId="7" priority="6">
      <formula>LEN(TRIM(I7))=0</formula>
    </cfRule>
  </conditionalFormatting>
  <conditionalFormatting sqref="I12 I17 I22 I27 I32 I37 I42 I47 I52 I57 I62">
    <cfRule type="cellIs" dxfId="8" priority="7" operator="lessThan">
      <formula>9</formula>
    </cfRule>
  </conditionalFormatting>
  <conditionalFormatting sqref="I12 I17 I22 I27 I32 I37 I42 I47 I52 I57 I62">
    <cfRule type="containsBlanks" dxfId="7" priority="8">
      <formula>LEN(TRIM(I12))=0</formula>
    </cfRule>
  </conditionalFormatting>
  <conditionalFormatting sqref="I8 I13 I18 I23 I28 I33 I38 I43 I48 I53 I58 I63">
    <cfRule type="cellIs" dxfId="9" priority="9" operator="greaterThanOrEqual">
      <formula>"95%"</formula>
    </cfRule>
  </conditionalFormatting>
  <conditionalFormatting sqref="I8 I13 I18 I23 I28 I33 I38 I43 I48 I53 I58 I63">
    <cfRule type="cellIs" dxfId="10" priority="10" operator="lessThan">
      <formula>"95%"</formula>
    </cfRule>
  </conditionalFormatting>
  <conditionalFormatting sqref="I8 I13 I18 I23 I28 I33 I38 I43 I48 I53 I58 I63">
    <cfRule type="containsBlanks" dxfId="7" priority="11">
      <formula>LEN(TRIM(I8))=0</formula>
    </cfRule>
  </conditionalFormatting>
  <conditionalFormatting sqref="I9 I14 I19 I24 I29 I34 I39 I44 I49 I54 I59 I64">
    <cfRule type="cellIs" dxfId="11" priority="12" operator="lessThanOrEqual">
      <formula>"2%"</formula>
    </cfRule>
  </conditionalFormatting>
  <conditionalFormatting sqref="I9 I14 I19 I24 I29 I34 I39 I44 I49 I54 I59 I64">
    <cfRule type="cellIs" dxfId="12" priority="13" operator="greaterThan">
      <formula>"2%"</formula>
    </cfRule>
  </conditionalFormatting>
  <conditionalFormatting sqref="I9 I14 I19 I24 I29 I34 I39 I44 I49 I54 I59 I64">
    <cfRule type="containsBlanks" dxfId="7" priority="14">
      <formula>LEN(TRIM(I9))=0</formula>
    </cfRule>
  </conditionalFormatting>
  <conditionalFormatting sqref="I11 I16 I21 I26 I31 I36 I41 I46 I51 I56 I61 I66">
    <cfRule type="cellIs" dxfId="5" priority="15" operator="greaterThanOrEqual">
      <formula>2000</formula>
    </cfRule>
  </conditionalFormatting>
  <conditionalFormatting sqref="I11 I16 I21 I26 I31 I36 I41 I46 I51 I56 I61 I66">
    <cfRule type="cellIs" dxfId="13" priority="16" operator="lessThan">
      <formula>2000</formula>
    </cfRule>
  </conditionalFormatting>
  <conditionalFormatting sqref="I11 I16 I21 I26 I31 I36 I41 I46 I51 I56 I61 I66">
    <cfRule type="containsBlanks" dxfId="7" priority="17">
      <formula>LEN(TRIM(I11))=0</formula>
    </cfRule>
  </conditionalFormatting>
  <conditionalFormatting sqref="J7:J66">
    <cfRule type="containsText" dxfId="2" priority="18" operator="containsText" text="pendiente">
      <formula>NOT(ISERROR(SEARCH(("pendiente"),(J7))))</formula>
    </cfRule>
  </conditionalFormatting>
  <conditionalFormatting sqref="J7:J66">
    <cfRule type="containsText" dxfId="5" priority="19" operator="containsText" text="ok">
      <formula>NOT(ISERROR(SEARCH(("ok"),(J7))))</formula>
    </cfRule>
  </conditionalFormatting>
  <conditionalFormatting sqref="J7:J66">
    <cfRule type="beginsWith" dxfId="10" priority="20" operator="beginsWith" text="🔴 Obj:">
      <formula>LEFT((J7),LEN("🔴 Obj:"))=("🔴 Obj:")</formula>
    </cfRule>
  </conditionalFormatting>
  <conditionalFormatting sqref="J7:J66">
    <cfRule type="containsText" dxfId="14" priority="21" operator="containsText" text="sin obj">
      <formula>NOT(ISERROR(SEARCH(("sin obj"),(J7))))</formula>
    </cfRule>
  </conditionalFormatting>
  <conditionalFormatting sqref="C7:C18">
    <cfRule type="cellIs" dxfId="5" priority="22" operator="greaterThan">
      <formula>0</formula>
    </cfRule>
  </conditionalFormatting>
  <conditionalFormatting sqref="C7:C18">
    <cfRule type="cellIs" dxfId="10" priority="23" operator="lessThan">
      <formula>0</formula>
    </cfRule>
  </conditionalFormatting>
  <conditionalFormatting sqref="C7:C18">
    <cfRule type="containsBlanks" dxfId="7" priority="24">
      <formula>LEN(TRIM(C7))=0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 outlineLevelRow="1"/>
  <cols>
    <col customWidth="1" min="1" max="1" width="1.75"/>
    <col customWidth="1" min="2" max="2" width="34.5"/>
    <col customWidth="1" min="3" max="3" width="23.63"/>
    <col customWidth="1" min="4" max="5" width="24.5"/>
    <col customWidth="1" min="6" max="6" width="11.25"/>
    <col customWidth="1" min="7" max="7" width="61.88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1.75" customHeight="1">
      <c r="A2" s="35"/>
      <c r="B2" s="167" t="s">
        <v>147</v>
      </c>
      <c r="C2" s="3"/>
      <c r="D2" s="3"/>
      <c r="E2" s="3"/>
      <c r="F2" s="3"/>
      <c r="G2" s="4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35"/>
      <c r="B4" s="168" t="s">
        <v>148</v>
      </c>
      <c r="C4" s="3"/>
      <c r="D4" s="4"/>
      <c r="E4" s="169" t="s">
        <v>176</v>
      </c>
      <c r="F4" s="3"/>
      <c r="G4" s="4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9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35"/>
      <c r="B6" s="170" t="s">
        <v>56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ht="27.75" customHeight="1" outlineLevel="1">
      <c r="A7" s="35"/>
      <c r="B7" s="171" t="s">
        <v>143</v>
      </c>
      <c r="C7" s="3"/>
      <c r="D7" s="3"/>
      <c r="E7" s="3"/>
      <c r="F7" s="3"/>
      <c r="G7" s="4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21.75" customHeight="1" outlineLevel="1">
      <c r="A8" s="35"/>
      <c r="B8" s="172" t="s">
        <v>69</v>
      </c>
      <c r="C8" s="173" t="s">
        <v>20</v>
      </c>
      <c r="D8" s="174" t="s">
        <v>53</v>
      </c>
      <c r="E8" s="18"/>
      <c r="F8" s="56"/>
      <c r="G8" s="175" t="s">
        <v>149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37.5" customHeight="1" outlineLevel="1">
      <c r="A9" s="1"/>
      <c r="B9" s="176" t="str">
        <f>'DATOS SECCION'!D7</f>
        <v>FAM A</v>
      </c>
      <c r="C9" s="224">
        <f>'DATOS SECCION'!E7</f>
        <v>-2655</v>
      </c>
      <c r="D9" s="178">
        <f>'DATOS SECCION'!F7</f>
        <v>-7182</v>
      </c>
      <c r="E9" s="18"/>
      <c r="F9" s="56"/>
      <c r="G9" s="225" t="s">
        <v>172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7.5" customHeight="1" outlineLevel="1">
      <c r="A10" s="1"/>
      <c r="B10" s="77"/>
      <c r="C10" s="77"/>
      <c r="D10" s="178">
        <f>'DATOS SECCION'!G7</f>
        <v>-830</v>
      </c>
      <c r="E10" s="18"/>
      <c r="F10" s="56"/>
      <c r="G10" s="225" t="s">
        <v>140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7.5" customHeight="1" outlineLevel="1">
      <c r="A11" s="1"/>
      <c r="B11" s="78"/>
      <c r="C11" s="78"/>
      <c r="D11" s="178">
        <f>'DATOS SECCION'!H7</f>
        <v>-3165</v>
      </c>
      <c r="E11" s="18"/>
      <c r="F11" s="56"/>
      <c r="G11" s="22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7.5" customHeight="1" outlineLevel="1">
      <c r="A12" s="1"/>
      <c r="B12" s="226" t="str">
        <f>'DATOS SECCION'!D8</f>
        <v>FAM B</v>
      </c>
      <c r="C12" s="227">
        <f>'DATOS SECCION'!E8</f>
        <v>-7461</v>
      </c>
      <c r="D12" s="181">
        <f>'DATOS SECCION'!F8</f>
        <v>-4077</v>
      </c>
      <c r="G12" s="228" t="s">
        <v>173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7.5" customHeight="1" outlineLevel="1">
      <c r="A13" s="1"/>
      <c r="D13" s="181"/>
      <c r="G13" s="22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7.5" customHeight="1" outlineLevel="1">
      <c r="A14" s="1"/>
      <c r="D14" s="181"/>
      <c r="G14" s="22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7.5" customHeight="1" outlineLevel="1">
      <c r="A15" s="1"/>
      <c r="B15" s="226" t="str">
        <f>'DATOS SECCION'!D9</f>
        <v>FAM C</v>
      </c>
      <c r="C15" s="227">
        <f>'DATOS SECCION'!E9</f>
        <v>-356</v>
      </c>
      <c r="D15" s="181"/>
      <c r="G15" s="22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7.5" customHeight="1" outlineLevel="1">
      <c r="A16" s="1"/>
      <c r="D16" s="181"/>
      <c r="G16" s="22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7.5" customHeight="1" outlineLevel="1">
      <c r="A17" s="1"/>
      <c r="D17" s="181"/>
      <c r="G17" s="22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75" customHeight="1" outlineLevel="1">
      <c r="A18" s="1"/>
      <c r="B18" s="229" t="s">
        <v>140</v>
      </c>
      <c r="C18" s="3"/>
      <c r="D18" s="3"/>
      <c r="E18" s="3"/>
      <c r="F18" s="3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 outlineLevel="1">
      <c r="A19" s="1"/>
      <c r="B19" s="230" t="s">
        <v>177</v>
      </c>
      <c r="C19" s="230" t="s">
        <v>137</v>
      </c>
      <c r="D19" s="231" t="s">
        <v>137</v>
      </c>
      <c r="E19" s="18"/>
      <c r="F19" s="56"/>
      <c r="G19" s="230" t="s">
        <v>174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7.5" customHeight="1" outlineLevel="1">
      <c r="A20" s="1"/>
      <c r="B20" s="176" t="s">
        <v>140</v>
      </c>
      <c r="C20" s="177" t="s">
        <v>177</v>
      </c>
      <c r="D20" s="178" t="s">
        <v>174</v>
      </c>
      <c r="E20" s="18"/>
      <c r="F20" s="56"/>
      <c r="G20" s="225" t="s">
        <v>22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7.5" customHeight="1" outlineLevel="1">
      <c r="A21" s="1"/>
      <c r="B21" s="77"/>
      <c r="C21" s="77"/>
      <c r="D21" s="178" t="s">
        <v>174</v>
      </c>
      <c r="E21" s="18"/>
      <c r="F21" s="56"/>
      <c r="G21" s="22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7.5" customHeight="1" outlineLevel="1">
      <c r="A22" s="1"/>
      <c r="B22" s="78"/>
      <c r="C22" s="78"/>
      <c r="D22" s="178" t="s">
        <v>174</v>
      </c>
      <c r="E22" s="18"/>
      <c r="F22" s="56"/>
      <c r="G22" s="22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7.5" customHeight="1" outlineLevel="1">
      <c r="A23" s="1"/>
      <c r="B23" s="226" t="s">
        <v>22</v>
      </c>
      <c r="C23" s="180"/>
      <c r="D23" s="181"/>
      <c r="G23" s="22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7.5" customHeight="1" outlineLevel="1">
      <c r="A24" s="1"/>
      <c r="D24" s="181"/>
      <c r="G24" s="22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7.5" customHeight="1" outlineLevel="1">
      <c r="A25" s="1"/>
      <c r="D25" s="181"/>
      <c r="G25" s="22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7.5" customHeight="1" outlineLevel="1">
      <c r="A26" s="1"/>
      <c r="B26" s="226" t="s">
        <v>177</v>
      </c>
      <c r="C26" s="180"/>
      <c r="D26" s="181"/>
      <c r="G26" s="22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7.5" customHeight="1" outlineLevel="1">
      <c r="A27" s="1"/>
      <c r="D27" s="181"/>
      <c r="G27" s="22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7.5" customHeight="1" outlineLevel="1">
      <c r="A28" s="1"/>
      <c r="D28" s="181"/>
      <c r="G28" s="22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 outlineLevel="1">
      <c r="A29" s="1"/>
      <c r="B29" s="229" t="s">
        <v>137</v>
      </c>
      <c r="C29" s="3"/>
      <c r="D29" s="3"/>
      <c r="E29" s="3"/>
      <c r="F29" s="3"/>
      <c r="G29" s="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75" customHeight="1" outlineLevel="1">
      <c r="A30" s="1"/>
      <c r="B30" s="230" t="s">
        <v>172</v>
      </c>
      <c r="C30" s="230" t="s">
        <v>173</v>
      </c>
      <c r="D30" s="231" t="s">
        <v>172</v>
      </c>
      <c r="E30" s="18"/>
      <c r="F30" s="56"/>
      <c r="G30" s="230" t="s">
        <v>173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7.5" customHeight="1" outlineLevel="1">
      <c r="A31" s="1"/>
      <c r="B31" s="176" t="s">
        <v>173</v>
      </c>
      <c r="C31" s="177" t="s">
        <v>22</v>
      </c>
      <c r="D31" s="178" t="s">
        <v>22</v>
      </c>
      <c r="E31" s="18"/>
      <c r="F31" s="56"/>
      <c r="G31" s="225" t="s">
        <v>21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7.5" customHeight="1" outlineLevel="1">
      <c r="A32" s="1"/>
      <c r="B32" s="77"/>
      <c r="C32" s="77"/>
      <c r="D32" s="178" t="s">
        <v>173</v>
      </c>
      <c r="E32" s="18"/>
      <c r="F32" s="56"/>
      <c r="G32" s="22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7.5" customHeight="1" outlineLevel="1">
      <c r="A33" s="1"/>
      <c r="B33" s="78"/>
      <c r="C33" s="78"/>
      <c r="D33" s="178" t="s">
        <v>21</v>
      </c>
      <c r="E33" s="18"/>
      <c r="F33" s="56"/>
      <c r="G33" s="22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7.5" customHeight="1" outlineLevel="1">
      <c r="A34" s="1"/>
      <c r="B34" s="226" t="s">
        <v>140</v>
      </c>
      <c r="C34" s="180"/>
      <c r="D34" s="181"/>
      <c r="G34" s="22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7.5" customHeight="1" outlineLevel="1">
      <c r="A35" s="1"/>
      <c r="D35" s="181"/>
      <c r="G35" s="22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7.5" customHeight="1" outlineLevel="1">
      <c r="A36" s="1"/>
      <c r="D36" s="181"/>
      <c r="G36" s="22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7.5" customHeight="1" outlineLevel="1">
      <c r="A37" s="1"/>
      <c r="B37" s="226" t="s">
        <v>21</v>
      </c>
      <c r="C37" s="180"/>
      <c r="D37" s="181"/>
      <c r="G37" s="22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7.5" customHeight="1" outlineLevel="1">
      <c r="A38" s="1"/>
      <c r="D38" s="181"/>
      <c r="G38" s="22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7.5" customHeight="1" outlineLevel="1">
      <c r="A39" s="1"/>
      <c r="D39" s="181"/>
      <c r="G39" s="22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37.5" customHeight="1">
      <c r="A40" s="1"/>
      <c r="B40" s="232" t="s">
        <v>174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7.5" customHeight="1" outlineLevel="1">
      <c r="A41" s="1"/>
      <c r="B41" s="229" t="s">
        <v>172</v>
      </c>
      <c r="C41" s="3"/>
      <c r="D41" s="3"/>
      <c r="E41" s="3"/>
      <c r="F41" s="3"/>
      <c r="G41" s="4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7.5" customHeight="1" outlineLevel="1">
      <c r="A42" s="1"/>
      <c r="B42" s="230" t="s">
        <v>174</v>
      </c>
      <c r="C42" s="230" t="s">
        <v>174</v>
      </c>
      <c r="D42" s="231" t="s">
        <v>21</v>
      </c>
      <c r="E42" s="18"/>
      <c r="F42" s="56"/>
      <c r="G42" s="230" t="s">
        <v>174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7.5" customHeight="1" outlineLevel="1">
      <c r="A43" s="1"/>
      <c r="B43" s="176" t="s">
        <v>174</v>
      </c>
      <c r="C43" s="177" t="s">
        <v>21</v>
      </c>
      <c r="D43" s="178" t="s">
        <v>174</v>
      </c>
      <c r="E43" s="18"/>
      <c r="F43" s="56"/>
      <c r="G43" s="225" t="s">
        <v>173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7.5" customHeight="1" outlineLevel="1">
      <c r="A44" s="1"/>
      <c r="B44" s="77"/>
      <c r="C44" s="77"/>
      <c r="D44" s="178" t="s">
        <v>140</v>
      </c>
      <c r="E44" s="18"/>
      <c r="F44" s="56"/>
      <c r="G44" s="22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7.5" customHeight="1" outlineLevel="1">
      <c r="A45" s="1"/>
      <c r="B45" s="78"/>
      <c r="C45" s="78"/>
      <c r="D45" s="178" t="s">
        <v>172</v>
      </c>
      <c r="E45" s="18"/>
      <c r="F45" s="56"/>
      <c r="G45" s="22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7.5" customHeight="1" outlineLevel="1">
      <c r="A46" s="1"/>
      <c r="B46" s="226" t="s">
        <v>137</v>
      </c>
      <c r="C46" s="180"/>
      <c r="D46" s="181"/>
      <c r="G46" s="22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37.5" customHeight="1" outlineLevel="1">
      <c r="A47" s="1"/>
      <c r="D47" s="181"/>
      <c r="G47" s="22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37.5" customHeight="1" outlineLevel="1">
      <c r="A48" s="1"/>
      <c r="D48" s="181"/>
      <c r="G48" s="22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7.5" customHeight="1" outlineLevel="1">
      <c r="A49" s="1"/>
      <c r="B49" s="226" t="s">
        <v>173</v>
      </c>
      <c r="C49" s="180"/>
      <c r="D49" s="181"/>
      <c r="G49" s="22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37.5" customHeight="1" outlineLevel="1">
      <c r="A50" s="1"/>
      <c r="D50" s="181"/>
      <c r="G50" s="22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7.5" customHeight="1" outlineLevel="1">
      <c r="A51" s="1"/>
      <c r="D51" s="181"/>
      <c r="G51" s="22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37.5" customHeight="1" outlineLevel="1">
      <c r="A52" s="1"/>
      <c r="B52" s="229" t="s">
        <v>21</v>
      </c>
      <c r="C52" s="3"/>
      <c r="D52" s="3"/>
      <c r="E52" s="3"/>
      <c r="F52" s="3"/>
      <c r="G52" s="4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37.5" customHeight="1" outlineLevel="1">
      <c r="A53" s="1"/>
      <c r="B53" s="230" t="s">
        <v>174</v>
      </c>
      <c r="C53" s="230" t="s">
        <v>22</v>
      </c>
      <c r="D53" s="231" t="s">
        <v>22</v>
      </c>
      <c r="E53" s="18"/>
      <c r="F53" s="56"/>
      <c r="G53" s="230" t="s">
        <v>22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37.5" customHeight="1" outlineLevel="1">
      <c r="A54" s="1"/>
      <c r="B54" s="176" t="s">
        <v>140</v>
      </c>
      <c r="C54" s="177" t="s">
        <v>177</v>
      </c>
      <c r="D54" s="178" t="s">
        <v>21</v>
      </c>
      <c r="E54" s="18"/>
      <c r="F54" s="56"/>
      <c r="G54" s="225" t="s">
        <v>21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37.5" customHeight="1" outlineLevel="1">
      <c r="A55" s="1"/>
      <c r="B55" s="77"/>
      <c r="C55" s="77"/>
      <c r="D55" s="178" t="s">
        <v>172</v>
      </c>
      <c r="E55" s="18"/>
      <c r="F55" s="56"/>
      <c r="G55" s="22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37.5" customHeight="1" outlineLevel="1">
      <c r="A56" s="1"/>
      <c r="B56" s="78"/>
      <c r="C56" s="78"/>
      <c r="D56" s="178" t="s">
        <v>173</v>
      </c>
      <c r="E56" s="18"/>
      <c r="F56" s="56"/>
      <c r="G56" s="22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7.5" customHeight="1" outlineLevel="1">
      <c r="A57" s="1"/>
      <c r="B57" s="226" t="s">
        <v>140</v>
      </c>
      <c r="C57" s="180"/>
      <c r="D57" s="181"/>
      <c r="G57" s="22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37.5" customHeight="1" outlineLevel="1">
      <c r="A58" s="1"/>
      <c r="D58" s="181"/>
      <c r="G58" s="22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37.5" customHeight="1" outlineLevel="1">
      <c r="A59" s="1"/>
      <c r="D59" s="181"/>
      <c r="G59" s="22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37.5" customHeight="1" outlineLevel="1">
      <c r="A60" s="1"/>
      <c r="B60" s="226" t="s">
        <v>22</v>
      </c>
      <c r="C60" s="180"/>
      <c r="D60" s="181"/>
      <c r="G60" s="22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37.5" customHeight="1" outlineLevel="1">
      <c r="A61" s="1"/>
      <c r="D61" s="181"/>
      <c r="G61" s="22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37.5" customHeight="1" outlineLevel="1">
      <c r="A62" s="1"/>
      <c r="D62" s="181"/>
      <c r="G62" s="22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37.5" customHeight="1" outlineLevel="1">
      <c r="A63" s="1"/>
      <c r="B63" s="229" t="s">
        <v>22</v>
      </c>
      <c r="C63" s="3"/>
      <c r="D63" s="3"/>
      <c r="E63" s="3"/>
      <c r="F63" s="3"/>
      <c r="G63" s="4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37.5" customHeight="1" outlineLevel="1">
      <c r="A64" s="1"/>
      <c r="B64" s="230" t="s">
        <v>173</v>
      </c>
      <c r="C64" s="230" t="s">
        <v>137</v>
      </c>
      <c r="D64" s="231" t="s">
        <v>137</v>
      </c>
      <c r="E64" s="18"/>
      <c r="F64" s="56"/>
      <c r="G64" s="230" t="s">
        <v>177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37.5" customHeight="1" outlineLevel="1">
      <c r="A65" s="1"/>
      <c r="B65" s="176" t="s">
        <v>173</v>
      </c>
      <c r="C65" s="177" t="s">
        <v>140</v>
      </c>
      <c r="D65" s="178" t="s">
        <v>174</v>
      </c>
      <c r="E65" s="18"/>
      <c r="F65" s="56"/>
      <c r="G65" s="225" t="s">
        <v>173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37.5" customHeight="1" outlineLevel="1">
      <c r="A66" s="1"/>
      <c r="B66" s="77"/>
      <c r="C66" s="77"/>
      <c r="D66" s="178" t="s">
        <v>177</v>
      </c>
      <c r="E66" s="18"/>
      <c r="F66" s="56"/>
      <c r="G66" s="22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37.5" customHeight="1" outlineLevel="1">
      <c r="A67" s="1"/>
      <c r="B67" s="78"/>
      <c r="C67" s="78"/>
      <c r="D67" s="178" t="s">
        <v>177</v>
      </c>
      <c r="E67" s="18"/>
      <c r="F67" s="56"/>
      <c r="G67" s="22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37.5" customHeight="1" outlineLevel="1">
      <c r="A68" s="1"/>
      <c r="B68" s="226" t="s">
        <v>21</v>
      </c>
      <c r="C68" s="180"/>
      <c r="D68" s="181"/>
      <c r="G68" s="22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37.5" customHeight="1" outlineLevel="1">
      <c r="A69" s="1"/>
      <c r="D69" s="181"/>
      <c r="G69" s="22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37.5" customHeight="1" outlineLevel="1">
      <c r="A70" s="1"/>
      <c r="D70" s="181"/>
      <c r="G70" s="22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37.5" customHeight="1" outlineLevel="1">
      <c r="A71" s="1"/>
      <c r="B71" s="226" t="s">
        <v>140</v>
      </c>
      <c r="C71" s="180"/>
      <c r="D71" s="181"/>
      <c r="G71" s="22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37.5" customHeight="1" outlineLevel="1">
      <c r="A72" s="1"/>
      <c r="D72" s="181"/>
      <c r="G72" s="22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37.5" customHeight="1" outlineLevel="1">
      <c r="A73" s="1"/>
      <c r="D73" s="181"/>
      <c r="G73" s="22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9.75" customHeight="1">
      <c r="A74" s="1"/>
      <c r="B74" s="160"/>
      <c r="C74" s="3"/>
      <c r="D74" s="3"/>
      <c r="E74" s="3"/>
      <c r="F74" s="3"/>
      <c r="G74" s="4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8">
    <mergeCell ref="D21:F21"/>
    <mergeCell ref="D22:F22"/>
    <mergeCell ref="D23:F23"/>
    <mergeCell ref="D24:F24"/>
    <mergeCell ref="D25:F25"/>
    <mergeCell ref="D26:F26"/>
    <mergeCell ref="D27:F27"/>
    <mergeCell ref="D28:F28"/>
    <mergeCell ref="B23:B25"/>
    <mergeCell ref="C23:C25"/>
    <mergeCell ref="B26:B28"/>
    <mergeCell ref="C26:C28"/>
    <mergeCell ref="B29:G29"/>
    <mergeCell ref="B31:B33"/>
    <mergeCell ref="C31:C33"/>
    <mergeCell ref="D37:F37"/>
    <mergeCell ref="D38:F38"/>
    <mergeCell ref="D32:F32"/>
    <mergeCell ref="D33:F33"/>
    <mergeCell ref="B34:B36"/>
    <mergeCell ref="C34:C36"/>
    <mergeCell ref="D34:F34"/>
    <mergeCell ref="D35:F35"/>
    <mergeCell ref="D36:F36"/>
    <mergeCell ref="D10:F10"/>
    <mergeCell ref="D11:F11"/>
    <mergeCell ref="D12:F12"/>
    <mergeCell ref="D13:F13"/>
    <mergeCell ref="D14:F14"/>
    <mergeCell ref="D15:F15"/>
    <mergeCell ref="D16:F16"/>
    <mergeCell ref="D17:F17"/>
    <mergeCell ref="B9:B11"/>
    <mergeCell ref="C9:C11"/>
    <mergeCell ref="B7:G7"/>
    <mergeCell ref="B2:G2"/>
    <mergeCell ref="B4:D4"/>
    <mergeCell ref="E4:G4"/>
    <mergeCell ref="B6:G6"/>
    <mergeCell ref="D8:F8"/>
    <mergeCell ref="D19:F19"/>
    <mergeCell ref="D20:F20"/>
    <mergeCell ref="B12:B14"/>
    <mergeCell ref="C12:C14"/>
    <mergeCell ref="B15:B17"/>
    <mergeCell ref="C15:C17"/>
    <mergeCell ref="B18:G18"/>
    <mergeCell ref="B20:B22"/>
    <mergeCell ref="C20:C22"/>
    <mergeCell ref="D30:F30"/>
    <mergeCell ref="D31:F31"/>
    <mergeCell ref="D42:F42"/>
    <mergeCell ref="D43:F43"/>
    <mergeCell ref="D9:F9"/>
    <mergeCell ref="D55:F55"/>
    <mergeCell ref="D56:F56"/>
    <mergeCell ref="D57:F57"/>
    <mergeCell ref="D58:F58"/>
    <mergeCell ref="D59:F59"/>
    <mergeCell ref="D60:F60"/>
    <mergeCell ref="D61:F61"/>
    <mergeCell ref="D62:F62"/>
    <mergeCell ref="B57:B59"/>
    <mergeCell ref="C57:C59"/>
    <mergeCell ref="B60:B62"/>
    <mergeCell ref="C60:C62"/>
    <mergeCell ref="B63:G63"/>
    <mergeCell ref="B65:B67"/>
    <mergeCell ref="C65:C67"/>
    <mergeCell ref="D44:F44"/>
    <mergeCell ref="D45:F45"/>
    <mergeCell ref="D46:F46"/>
    <mergeCell ref="D47:F47"/>
    <mergeCell ref="D48:F48"/>
    <mergeCell ref="D49:F49"/>
    <mergeCell ref="D50:F50"/>
    <mergeCell ref="D51:F51"/>
    <mergeCell ref="B37:B39"/>
    <mergeCell ref="C37:C39"/>
    <mergeCell ref="D39:F39"/>
    <mergeCell ref="B40:G40"/>
    <mergeCell ref="B41:G41"/>
    <mergeCell ref="B43:B45"/>
    <mergeCell ref="C43:C45"/>
    <mergeCell ref="D53:F53"/>
    <mergeCell ref="D54:F54"/>
    <mergeCell ref="B46:B48"/>
    <mergeCell ref="C46:C48"/>
    <mergeCell ref="B49:B51"/>
    <mergeCell ref="C49:C51"/>
    <mergeCell ref="B52:G52"/>
    <mergeCell ref="B54:B56"/>
    <mergeCell ref="C54:C56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B68:B70"/>
    <mergeCell ref="C68:C70"/>
    <mergeCell ref="B71:B73"/>
    <mergeCell ref="C71:C73"/>
    <mergeCell ref="B74:G74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3.25"/>
    <col customWidth="1" min="3" max="3" width="20.25"/>
    <col customWidth="1" min="4" max="89" width="16.38"/>
    <col customWidth="1" min="90" max="95" width="7.63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</row>
    <row r="2" ht="36.0" customHeight="1">
      <c r="A2" s="1"/>
      <c r="B2" s="1"/>
      <c r="C2" s="233" t="s">
        <v>137</v>
      </c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</row>
    <row r="3" ht="6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</row>
    <row r="4" ht="24.0" customHeight="1">
      <c r="A4" s="35"/>
      <c r="B4" s="35"/>
      <c r="C4" s="63" t="s">
        <v>55</v>
      </c>
      <c r="D4" s="3"/>
      <c r="E4" s="3"/>
      <c r="F4" s="3"/>
      <c r="G4" s="3"/>
      <c r="H4" s="3"/>
      <c r="I4" s="63"/>
      <c r="J4" s="3"/>
      <c r="K4" s="3"/>
      <c r="L4" s="3"/>
      <c r="M4" s="3"/>
      <c r="N4" s="3"/>
      <c r="O4" s="63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ht="24.0" customHeight="1">
      <c r="A5" s="35"/>
      <c r="B5" s="35"/>
      <c r="C5" s="66" t="s">
        <v>56</v>
      </c>
      <c r="D5" s="67"/>
      <c r="E5" s="67"/>
      <c r="F5" s="67"/>
      <c r="G5" s="67"/>
      <c r="H5" s="67"/>
      <c r="I5" s="68"/>
      <c r="J5" s="66" t="s">
        <v>57</v>
      </c>
      <c r="K5" s="67"/>
      <c r="L5" s="67"/>
      <c r="M5" s="67"/>
      <c r="N5" s="67"/>
      <c r="O5" s="67"/>
      <c r="P5" s="35"/>
    </row>
    <row r="6" ht="38.25" customHeight="1">
      <c r="A6" s="35"/>
      <c r="B6" s="35"/>
      <c r="C6" s="16" t="s">
        <v>68</v>
      </c>
      <c r="D6" s="16" t="s">
        <v>69</v>
      </c>
      <c r="E6" s="69" t="s">
        <v>20</v>
      </c>
      <c r="F6" s="69" t="s">
        <v>20</v>
      </c>
      <c r="G6" s="69" t="s">
        <v>20</v>
      </c>
      <c r="H6" s="69" t="s">
        <v>20</v>
      </c>
      <c r="I6" s="70"/>
      <c r="J6" s="16" t="s">
        <v>68</v>
      </c>
      <c r="K6" s="16" t="s">
        <v>69</v>
      </c>
      <c r="L6" s="69" t="s">
        <v>20</v>
      </c>
      <c r="M6" s="69" t="s">
        <v>20</v>
      </c>
      <c r="N6" s="69" t="s">
        <v>20</v>
      </c>
      <c r="O6" s="69" t="s">
        <v>20</v>
      </c>
    </row>
    <row r="7" ht="27.0" customHeight="1">
      <c r="A7" s="1"/>
      <c r="B7" s="1"/>
      <c r="C7" s="71" t="s">
        <v>70</v>
      </c>
      <c r="D7" s="72" t="s">
        <v>71</v>
      </c>
      <c r="E7" s="234">
        <f t="shared" ref="E7:H7" si="1">RANDBETWEEN(-10000, 0)</f>
        <v>-2655</v>
      </c>
      <c r="F7" s="235">
        <f t="shared" si="1"/>
        <v>-7182</v>
      </c>
      <c r="G7" s="235">
        <f t="shared" si="1"/>
        <v>-830</v>
      </c>
      <c r="H7" s="235">
        <f t="shared" si="1"/>
        <v>-3165</v>
      </c>
      <c r="I7" s="236"/>
      <c r="J7" s="71" t="s">
        <v>72</v>
      </c>
      <c r="K7" s="76" t="s">
        <v>71</v>
      </c>
      <c r="L7" s="235">
        <f t="shared" ref="L7:O7" si="2">RANDBETWEEN(-10000, 0)</f>
        <v>-2582</v>
      </c>
      <c r="M7" s="235">
        <f t="shared" si="2"/>
        <v>-8108</v>
      </c>
      <c r="N7" s="235">
        <f t="shared" si="2"/>
        <v>-2419</v>
      </c>
      <c r="O7" s="235">
        <f t="shared" si="2"/>
        <v>-3108</v>
      </c>
    </row>
    <row r="8" ht="27.0" customHeight="1">
      <c r="A8" s="1"/>
      <c r="B8" s="1"/>
      <c r="C8" s="77"/>
      <c r="D8" s="72" t="s">
        <v>83</v>
      </c>
      <c r="E8" s="234">
        <f t="shared" ref="E8:H8" si="3">RANDBETWEEN(-10000, 0)</f>
        <v>-7461</v>
      </c>
      <c r="F8" s="235">
        <f t="shared" si="3"/>
        <v>-4077</v>
      </c>
      <c r="G8" s="235">
        <f t="shared" si="3"/>
        <v>-381</v>
      </c>
      <c r="H8" s="235">
        <f t="shared" si="3"/>
        <v>-596</v>
      </c>
      <c r="I8" s="236"/>
      <c r="J8" s="77"/>
      <c r="K8" s="76" t="s">
        <v>83</v>
      </c>
      <c r="L8" s="235">
        <f t="shared" ref="L8:O8" si="4">RANDBETWEEN(-10000, 0)</f>
        <v>-1740</v>
      </c>
      <c r="M8" s="235">
        <f t="shared" si="4"/>
        <v>-1723</v>
      </c>
      <c r="N8" s="235">
        <f t="shared" si="4"/>
        <v>-6256</v>
      </c>
      <c r="O8" s="235">
        <f t="shared" si="4"/>
        <v>-9006</v>
      </c>
    </row>
    <row r="9" ht="27.0" customHeight="1">
      <c r="A9" s="1"/>
      <c r="B9" s="1"/>
      <c r="C9" s="78"/>
      <c r="D9" s="79" t="s">
        <v>84</v>
      </c>
      <c r="E9" s="234">
        <f t="shared" ref="E9:H9" si="5">RANDBETWEEN(-10000, 0)</f>
        <v>-356</v>
      </c>
      <c r="F9" s="235">
        <f t="shared" si="5"/>
        <v>-7930</v>
      </c>
      <c r="G9" s="235">
        <f t="shared" si="5"/>
        <v>-8158</v>
      </c>
      <c r="H9" s="235">
        <f t="shared" si="5"/>
        <v>-3759</v>
      </c>
      <c r="I9" s="237"/>
      <c r="J9" s="78"/>
      <c r="K9" s="84" t="s">
        <v>84</v>
      </c>
      <c r="L9" s="235">
        <f t="shared" ref="L9:O9" si="6">RANDBETWEEN(-10000, 0)</f>
        <v>-1190</v>
      </c>
      <c r="M9" s="235">
        <f t="shared" si="6"/>
        <v>-1957</v>
      </c>
      <c r="N9" s="235">
        <f t="shared" si="6"/>
        <v>-3538</v>
      </c>
      <c r="O9" s="235">
        <f t="shared" si="6"/>
        <v>-1285</v>
      </c>
    </row>
    <row r="10" ht="3.75" customHeight="1">
      <c r="A10" s="156"/>
      <c r="B10" s="156"/>
      <c r="C10" s="85"/>
      <c r="D10" s="85"/>
      <c r="E10" s="238"/>
      <c r="F10" s="156"/>
      <c r="G10" s="156"/>
      <c r="H10" s="156"/>
      <c r="I10" s="156"/>
      <c r="J10" s="85"/>
      <c r="K10" s="85"/>
      <c r="L10" s="85"/>
      <c r="M10" s="85"/>
      <c r="N10" s="85"/>
      <c r="O10" s="85"/>
    </row>
    <row r="11" ht="27.0" customHeight="1">
      <c r="A11" s="1"/>
      <c r="B11" s="1"/>
      <c r="C11" s="86" t="s">
        <v>85</v>
      </c>
      <c r="D11" s="87" t="s">
        <v>71</v>
      </c>
      <c r="E11" s="234">
        <f t="shared" ref="E11:H11" si="7">RANDBETWEEN(-10000, 0)</f>
        <v>-7433</v>
      </c>
      <c r="F11" s="235">
        <f t="shared" si="7"/>
        <v>-3310</v>
      </c>
      <c r="G11" s="235">
        <f t="shared" si="7"/>
        <v>-9954</v>
      </c>
      <c r="H11" s="235">
        <f t="shared" si="7"/>
        <v>-9886</v>
      </c>
      <c r="I11" s="239"/>
      <c r="J11" s="86" t="s">
        <v>86</v>
      </c>
      <c r="K11" s="87" t="s">
        <v>71</v>
      </c>
      <c r="L11" s="235">
        <f t="shared" ref="L11:O11" si="8">RANDBETWEEN(-10000, 0)</f>
        <v>-4756</v>
      </c>
      <c r="M11" s="235">
        <f t="shared" si="8"/>
        <v>-2909</v>
      </c>
      <c r="N11" s="235">
        <f t="shared" si="8"/>
        <v>-5989</v>
      </c>
      <c r="O11" s="235">
        <f t="shared" si="8"/>
        <v>-4691</v>
      </c>
    </row>
    <row r="12" ht="27.0" customHeight="1">
      <c r="A12" s="1"/>
      <c r="B12" s="1"/>
      <c r="C12" s="77"/>
      <c r="D12" s="92" t="s">
        <v>83</v>
      </c>
      <c r="E12" s="234">
        <f t="shared" ref="E12:H12" si="9">RANDBETWEEN(-10000, 0)</f>
        <v>-7259</v>
      </c>
      <c r="F12" s="235">
        <f t="shared" si="9"/>
        <v>-2469</v>
      </c>
      <c r="G12" s="235">
        <f t="shared" si="9"/>
        <v>-6101</v>
      </c>
      <c r="H12" s="235">
        <f t="shared" si="9"/>
        <v>-7078</v>
      </c>
      <c r="I12" s="236"/>
      <c r="J12" s="77"/>
      <c r="K12" s="92" t="s">
        <v>83</v>
      </c>
      <c r="L12" s="235">
        <f t="shared" ref="L12:O12" si="10">RANDBETWEEN(-10000, 0)</f>
        <v>-9427</v>
      </c>
      <c r="M12" s="235">
        <f t="shared" si="10"/>
        <v>-5852</v>
      </c>
      <c r="N12" s="235">
        <f t="shared" si="10"/>
        <v>-6498</v>
      </c>
      <c r="O12" s="235">
        <f t="shared" si="10"/>
        <v>-1010</v>
      </c>
    </row>
    <row r="13" ht="27.0" customHeight="1">
      <c r="A13" s="1"/>
      <c r="B13" s="1"/>
      <c r="C13" s="78"/>
      <c r="D13" s="93" t="s">
        <v>84</v>
      </c>
      <c r="E13" s="234">
        <f t="shared" ref="E13:H13" si="11">RANDBETWEEN(-10000, 0)</f>
        <v>-6555</v>
      </c>
      <c r="F13" s="235">
        <f t="shared" si="11"/>
        <v>-2090</v>
      </c>
      <c r="G13" s="235">
        <f t="shared" si="11"/>
        <v>-3951</v>
      </c>
      <c r="H13" s="235">
        <f t="shared" si="11"/>
        <v>-4229</v>
      </c>
      <c r="I13" s="237"/>
      <c r="J13" s="78"/>
      <c r="K13" s="93" t="s">
        <v>84</v>
      </c>
      <c r="L13" s="235">
        <f t="shared" ref="L13:O13" si="12">RANDBETWEEN(-10000, 0)</f>
        <v>-5123</v>
      </c>
      <c r="M13" s="235">
        <f t="shared" si="12"/>
        <v>-6491</v>
      </c>
      <c r="N13" s="235">
        <f t="shared" si="12"/>
        <v>-8121</v>
      </c>
      <c r="O13" s="235">
        <f t="shared" si="12"/>
        <v>-7516</v>
      </c>
    </row>
    <row r="14" ht="3.75" customHeight="1">
      <c r="A14" s="156"/>
      <c r="B14" s="156"/>
      <c r="C14" s="85"/>
      <c r="D14" s="85"/>
      <c r="E14" s="238"/>
      <c r="F14" s="156"/>
      <c r="G14" s="156"/>
      <c r="H14" s="156"/>
      <c r="I14" s="156"/>
      <c r="J14" s="85"/>
      <c r="K14" s="85"/>
      <c r="L14" s="85"/>
      <c r="M14" s="85"/>
      <c r="N14" s="85"/>
      <c r="O14" s="85"/>
    </row>
    <row r="15" ht="33.0" customHeight="1">
      <c r="A15" s="1"/>
      <c r="B15" s="1"/>
      <c r="C15" s="94" t="s">
        <v>97</v>
      </c>
      <c r="D15" s="95" t="s">
        <v>71</v>
      </c>
      <c r="E15" s="235">
        <f t="shared" ref="E15:H15" si="13">RANDBETWEEN(-10000, 0)</f>
        <v>-5063</v>
      </c>
      <c r="F15" s="235">
        <f t="shared" si="13"/>
        <v>-6188</v>
      </c>
      <c r="G15" s="235">
        <f t="shared" si="13"/>
        <v>-2963</v>
      </c>
      <c r="H15" s="235">
        <f t="shared" si="13"/>
        <v>-9883</v>
      </c>
      <c r="I15" s="239"/>
      <c r="J15" s="94" t="s">
        <v>98</v>
      </c>
      <c r="K15" s="95" t="s">
        <v>71</v>
      </c>
      <c r="L15" s="235">
        <f t="shared" ref="L15:O15" si="14">RANDBETWEEN(-10000, 0)</f>
        <v>-9685</v>
      </c>
      <c r="M15" s="235">
        <f t="shared" si="14"/>
        <v>-5629</v>
      </c>
      <c r="N15" s="235">
        <f t="shared" si="14"/>
        <v>-7506</v>
      </c>
      <c r="O15" s="235">
        <f t="shared" si="14"/>
        <v>-6812</v>
      </c>
    </row>
    <row r="16" ht="33.0" customHeight="1">
      <c r="A16" s="1"/>
      <c r="B16" s="1"/>
      <c r="C16" s="77"/>
      <c r="D16" s="76" t="s">
        <v>83</v>
      </c>
      <c r="E16" s="235">
        <f t="shared" ref="E16:H16" si="15">RANDBETWEEN(-10000, 0)</f>
        <v>-1709</v>
      </c>
      <c r="F16" s="235">
        <f t="shared" si="15"/>
        <v>-3023</v>
      </c>
      <c r="G16" s="235">
        <f t="shared" si="15"/>
        <v>-783</v>
      </c>
      <c r="H16" s="235">
        <f t="shared" si="15"/>
        <v>-5221</v>
      </c>
      <c r="I16" s="236"/>
      <c r="J16" s="77"/>
      <c r="K16" s="76" t="s">
        <v>83</v>
      </c>
      <c r="L16" s="235">
        <f t="shared" ref="L16:O16" si="16">RANDBETWEEN(-10000, 0)</f>
        <v>-8688</v>
      </c>
      <c r="M16" s="235">
        <f t="shared" si="16"/>
        <v>-6597</v>
      </c>
      <c r="N16" s="235">
        <f t="shared" si="16"/>
        <v>-7492</v>
      </c>
      <c r="O16" s="235">
        <f t="shared" si="16"/>
        <v>-7730</v>
      </c>
    </row>
    <row r="17" ht="33.0" customHeight="1">
      <c r="A17" s="1"/>
      <c r="B17" s="1"/>
      <c r="C17" s="78"/>
      <c r="D17" s="84" t="s">
        <v>84</v>
      </c>
      <c r="E17" s="235">
        <f t="shared" ref="E17:H17" si="17">RANDBETWEEN(-10000, 0)</f>
        <v>-3765</v>
      </c>
      <c r="F17" s="235">
        <f t="shared" si="17"/>
        <v>-6395</v>
      </c>
      <c r="G17" s="235">
        <f t="shared" si="17"/>
        <v>-2391</v>
      </c>
      <c r="H17" s="235">
        <f t="shared" si="17"/>
        <v>-1539</v>
      </c>
      <c r="I17" s="237"/>
      <c r="J17" s="78"/>
      <c r="K17" s="84" t="s">
        <v>84</v>
      </c>
      <c r="L17" s="235">
        <f t="shared" ref="L17:O17" si="18">RANDBETWEEN(-10000, 0)</f>
        <v>-163</v>
      </c>
      <c r="M17" s="235">
        <f t="shared" si="18"/>
        <v>-9776</v>
      </c>
      <c r="N17" s="235">
        <f t="shared" si="18"/>
        <v>-7946</v>
      </c>
      <c r="O17" s="235">
        <f t="shared" si="18"/>
        <v>-7908</v>
      </c>
    </row>
    <row r="18" ht="3.75" customHeight="1">
      <c r="A18" s="156"/>
      <c r="B18" s="156"/>
      <c r="C18" s="85"/>
      <c r="D18" s="85"/>
      <c r="E18" s="238"/>
      <c r="F18" s="156"/>
      <c r="G18" s="156"/>
      <c r="H18" s="156"/>
      <c r="I18" s="156"/>
      <c r="J18" s="85"/>
      <c r="K18" s="85"/>
      <c r="L18" s="85"/>
      <c r="M18" s="85"/>
      <c r="N18" s="85"/>
      <c r="O18" s="85"/>
    </row>
    <row r="19" ht="29.25" customHeight="1">
      <c r="A19" s="1"/>
      <c r="B19" s="1"/>
      <c r="C19" s="86" t="s">
        <v>109</v>
      </c>
      <c r="D19" s="87" t="s">
        <v>71</v>
      </c>
      <c r="E19" s="235">
        <f t="shared" ref="E19:H19" si="19">RANDBETWEEN(-10000, 0)</f>
        <v>-5969</v>
      </c>
      <c r="F19" s="235">
        <f t="shared" si="19"/>
        <v>-6430</v>
      </c>
      <c r="G19" s="235">
        <f t="shared" si="19"/>
        <v>-9035</v>
      </c>
      <c r="H19" s="235">
        <f t="shared" si="19"/>
        <v>-5793</v>
      </c>
      <c r="I19" s="239"/>
      <c r="J19" s="86" t="s">
        <v>110</v>
      </c>
      <c r="K19" s="87" t="s">
        <v>71</v>
      </c>
      <c r="L19" s="235">
        <f t="shared" ref="L19:O19" si="20">RANDBETWEEN(-10000, 0)</f>
        <v>-2941</v>
      </c>
      <c r="M19" s="235">
        <f t="shared" si="20"/>
        <v>-5150</v>
      </c>
      <c r="N19" s="235">
        <f t="shared" si="20"/>
        <v>-7555</v>
      </c>
      <c r="O19" s="235">
        <f t="shared" si="20"/>
        <v>-9326</v>
      </c>
    </row>
    <row r="20" ht="29.25" customHeight="1">
      <c r="A20" s="1"/>
      <c r="B20" s="1"/>
      <c r="C20" s="77"/>
      <c r="D20" s="92" t="s">
        <v>83</v>
      </c>
      <c r="E20" s="235">
        <f t="shared" ref="E20:H20" si="21">RANDBETWEEN(-10000, 0)</f>
        <v>-3178</v>
      </c>
      <c r="F20" s="235">
        <f t="shared" si="21"/>
        <v>-3677</v>
      </c>
      <c r="G20" s="235">
        <f t="shared" si="21"/>
        <v>-5218</v>
      </c>
      <c r="H20" s="235">
        <f t="shared" si="21"/>
        <v>-59</v>
      </c>
      <c r="I20" s="236"/>
      <c r="J20" s="77"/>
      <c r="K20" s="92" t="s">
        <v>83</v>
      </c>
      <c r="L20" s="235">
        <f t="shared" ref="L20:O20" si="22">RANDBETWEEN(-10000, 0)</f>
        <v>-5638</v>
      </c>
      <c r="M20" s="235">
        <f t="shared" si="22"/>
        <v>-5167</v>
      </c>
      <c r="N20" s="235">
        <f t="shared" si="22"/>
        <v>-7769</v>
      </c>
      <c r="O20" s="235">
        <f t="shared" si="22"/>
        <v>-5162</v>
      </c>
    </row>
    <row r="21" ht="29.25" customHeight="1">
      <c r="A21" s="1"/>
      <c r="B21" s="1"/>
      <c r="C21" s="78"/>
      <c r="D21" s="93" t="s">
        <v>84</v>
      </c>
      <c r="E21" s="235">
        <f t="shared" ref="E21:H21" si="23">RANDBETWEEN(-10000, 0)</f>
        <v>-4591</v>
      </c>
      <c r="F21" s="235">
        <f t="shared" si="23"/>
        <v>-953</v>
      </c>
      <c r="G21" s="235">
        <f t="shared" si="23"/>
        <v>-4861</v>
      </c>
      <c r="H21" s="235">
        <f t="shared" si="23"/>
        <v>-7931</v>
      </c>
      <c r="I21" s="237"/>
      <c r="J21" s="78"/>
      <c r="K21" s="93" t="s">
        <v>84</v>
      </c>
      <c r="L21" s="235">
        <f t="shared" ref="L21:O21" si="24">RANDBETWEEN(-10000, 0)</f>
        <v>-8816</v>
      </c>
      <c r="M21" s="235">
        <f t="shared" si="24"/>
        <v>-6303</v>
      </c>
      <c r="N21" s="235">
        <f t="shared" si="24"/>
        <v>-2625</v>
      </c>
      <c r="O21" s="235">
        <f t="shared" si="24"/>
        <v>-2000</v>
      </c>
    </row>
    <row r="22" ht="3.75" customHeight="1">
      <c r="A22" s="1"/>
      <c r="B22" s="1"/>
      <c r="C22" s="96"/>
      <c r="D22" s="97"/>
      <c r="E22" s="240"/>
      <c r="F22" s="241"/>
      <c r="G22" s="241"/>
      <c r="H22" s="241"/>
      <c r="I22" s="242"/>
      <c r="J22" s="242"/>
      <c r="K22" s="242"/>
      <c r="L22" s="242"/>
      <c r="M22" s="1"/>
      <c r="N22" s="1"/>
      <c r="O22" s="1"/>
      <c r="P22" s="1"/>
    </row>
    <row r="23" ht="30.0" customHeight="1">
      <c r="A23" s="1"/>
      <c r="B23" s="1"/>
      <c r="C23" s="94" t="s">
        <v>121</v>
      </c>
      <c r="D23" s="95" t="s">
        <v>71</v>
      </c>
      <c r="E23" s="235">
        <f t="shared" ref="E23:H23" si="25">RANDBETWEEN(-10000, 0)</f>
        <v>-166</v>
      </c>
      <c r="F23" s="235">
        <f t="shared" si="25"/>
        <v>-3970</v>
      </c>
      <c r="G23" s="235">
        <f t="shared" si="25"/>
        <v>-5979</v>
      </c>
      <c r="H23" s="235">
        <f t="shared" si="25"/>
        <v>-7039</v>
      </c>
      <c r="I23" s="1"/>
      <c r="J23" s="1"/>
      <c r="K23" s="1"/>
      <c r="L23" s="1"/>
      <c r="M23" s="1"/>
      <c r="N23" s="1"/>
      <c r="O23" s="1"/>
      <c r="P23" s="1"/>
    </row>
    <row r="24" ht="30.0" customHeight="1">
      <c r="A24" s="1"/>
      <c r="B24" s="1"/>
      <c r="C24" s="77"/>
      <c r="D24" s="76" t="s">
        <v>83</v>
      </c>
      <c r="E24" s="235">
        <f t="shared" ref="E24:H24" si="26">RANDBETWEEN(-10000, 0)</f>
        <v>-7025</v>
      </c>
      <c r="F24" s="235">
        <f t="shared" si="26"/>
        <v>-3758</v>
      </c>
      <c r="G24" s="235">
        <f t="shared" si="26"/>
        <v>-8476</v>
      </c>
      <c r="H24" s="235">
        <f t="shared" si="26"/>
        <v>-1918</v>
      </c>
      <c r="I24" s="1"/>
      <c r="J24" s="1"/>
      <c r="K24" s="1"/>
      <c r="L24" s="1"/>
      <c r="M24" s="1"/>
      <c r="N24" s="1"/>
      <c r="O24" s="1"/>
      <c r="P24" s="1"/>
    </row>
    <row r="25" ht="30.0" customHeight="1">
      <c r="A25" s="1"/>
      <c r="B25" s="1"/>
      <c r="C25" s="78"/>
      <c r="D25" s="84" t="s">
        <v>84</v>
      </c>
      <c r="E25" s="235">
        <f t="shared" ref="E25:H25" si="27">RANDBETWEEN(-10000, 0)</f>
        <v>-5713</v>
      </c>
      <c r="F25" s="235">
        <f t="shared" si="27"/>
        <v>-6342</v>
      </c>
      <c r="G25" s="235">
        <f t="shared" si="27"/>
        <v>-5732</v>
      </c>
      <c r="H25" s="235">
        <f t="shared" si="27"/>
        <v>-5172</v>
      </c>
      <c r="I25" s="1"/>
      <c r="J25" s="1"/>
      <c r="K25" s="1"/>
      <c r="L25" s="1"/>
      <c r="M25" s="1"/>
      <c r="N25" s="1"/>
      <c r="O25" s="1"/>
      <c r="P25" s="1"/>
    </row>
    <row r="26" ht="30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</row>
    <row r="27" ht="24.0" customHeight="1">
      <c r="A27" s="35"/>
      <c r="B27" s="35"/>
      <c r="C27" s="63" t="s">
        <v>124</v>
      </c>
      <c r="D27" s="3"/>
      <c r="E27" s="3"/>
      <c r="F27" s="3"/>
      <c r="G27" s="3"/>
      <c r="H27" s="3"/>
      <c r="I27" s="3"/>
      <c r="J27" s="4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1"/>
      <c r="CN27" s="1"/>
      <c r="CO27" s="1"/>
      <c r="CP27" s="1"/>
      <c r="CQ27" s="1"/>
    </row>
    <row r="28" ht="38.25" customHeight="1">
      <c r="A28" s="35"/>
      <c r="B28" s="35"/>
      <c r="C28" s="16" t="s">
        <v>32</v>
      </c>
      <c r="D28" s="38" t="s">
        <v>33</v>
      </c>
      <c r="E28" s="38" t="s">
        <v>34</v>
      </c>
      <c r="F28" s="38" t="s">
        <v>35</v>
      </c>
      <c r="G28" s="38" t="s">
        <v>36</v>
      </c>
      <c r="H28" s="38" t="s">
        <v>37</v>
      </c>
      <c r="I28" s="38" t="s">
        <v>38</v>
      </c>
      <c r="J28" s="38" t="s">
        <v>39</v>
      </c>
      <c r="K28" s="38" t="s">
        <v>40</v>
      </c>
      <c r="L28" s="38" t="s">
        <v>41</v>
      </c>
      <c r="M28" s="38" t="s">
        <v>42</v>
      </c>
      <c r="N28" s="38" t="s">
        <v>43</v>
      </c>
      <c r="O28" s="38" t="s">
        <v>44</v>
      </c>
      <c r="P28" s="38" t="s">
        <v>45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1"/>
      <c r="CN28" s="1"/>
      <c r="CO28" s="1"/>
      <c r="CP28" s="1"/>
      <c r="CQ28" s="1"/>
    </row>
    <row r="29" ht="38.25" customHeight="1">
      <c r="A29" s="1"/>
      <c r="B29" s="100">
        <v>2025.0</v>
      </c>
      <c r="C29" s="39" t="s">
        <v>20</v>
      </c>
      <c r="D29" s="101">
        <f t="shared" ref="D29:O29" si="28">RANDBETWEEN(0,1000)</f>
        <v>879</v>
      </c>
      <c r="E29" s="101">
        <f t="shared" si="28"/>
        <v>409</v>
      </c>
      <c r="F29" s="101">
        <f t="shared" si="28"/>
        <v>979</v>
      </c>
      <c r="G29" s="101">
        <f t="shared" si="28"/>
        <v>603</v>
      </c>
      <c r="H29" s="101">
        <f t="shared" si="28"/>
        <v>179</v>
      </c>
      <c r="I29" s="101">
        <f t="shared" si="28"/>
        <v>596</v>
      </c>
      <c r="J29" s="101">
        <f t="shared" si="28"/>
        <v>3</v>
      </c>
      <c r="K29" s="101">
        <f t="shared" si="28"/>
        <v>594</v>
      </c>
      <c r="L29" s="101">
        <f t="shared" si="28"/>
        <v>99</v>
      </c>
      <c r="M29" s="101">
        <f t="shared" si="28"/>
        <v>679</v>
      </c>
      <c r="N29" s="101">
        <f t="shared" si="28"/>
        <v>779</v>
      </c>
      <c r="O29" s="101">
        <f t="shared" si="28"/>
        <v>903</v>
      </c>
      <c r="P29" s="102">
        <f t="shared" ref="P29:P30" si="30">SUM(D29:O29)</f>
        <v>6702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</row>
    <row r="30" ht="38.25" customHeight="1">
      <c r="A30" s="1"/>
      <c r="C30" s="39" t="s">
        <v>20</v>
      </c>
      <c r="D30" s="101">
        <f t="shared" ref="D30:O30" si="29">RANDBETWEEN(0,1000)</f>
        <v>920</v>
      </c>
      <c r="E30" s="101">
        <f t="shared" si="29"/>
        <v>177</v>
      </c>
      <c r="F30" s="101">
        <f t="shared" si="29"/>
        <v>600</v>
      </c>
      <c r="G30" s="101">
        <f t="shared" si="29"/>
        <v>482</v>
      </c>
      <c r="H30" s="101">
        <f t="shared" si="29"/>
        <v>758</v>
      </c>
      <c r="I30" s="101">
        <f t="shared" si="29"/>
        <v>649</v>
      </c>
      <c r="J30" s="101">
        <f t="shared" si="29"/>
        <v>33</v>
      </c>
      <c r="K30" s="101">
        <f t="shared" si="29"/>
        <v>825</v>
      </c>
      <c r="L30" s="101">
        <f t="shared" si="29"/>
        <v>593</v>
      </c>
      <c r="M30" s="101">
        <f t="shared" si="29"/>
        <v>664</v>
      </c>
      <c r="N30" s="101">
        <f t="shared" si="29"/>
        <v>280</v>
      </c>
      <c r="O30" s="101">
        <f t="shared" si="29"/>
        <v>469</v>
      </c>
      <c r="P30" s="102">
        <f t="shared" si="30"/>
        <v>6450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</row>
    <row r="31" ht="38.25" customHeight="1">
      <c r="A31" s="1"/>
      <c r="C31" s="39" t="s">
        <v>20</v>
      </c>
      <c r="D31" s="101">
        <f t="shared" ref="D31:O31" si="31">RANDBETWEEN(0,1000)</f>
        <v>701</v>
      </c>
      <c r="E31" s="101">
        <f t="shared" si="31"/>
        <v>373</v>
      </c>
      <c r="F31" s="101">
        <f t="shared" si="31"/>
        <v>87</v>
      </c>
      <c r="G31" s="101">
        <f t="shared" si="31"/>
        <v>600</v>
      </c>
      <c r="H31" s="101">
        <f t="shared" si="31"/>
        <v>180</v>
      </c>
      <c r="I31" s="101">
        <f t="shared" si="31"/>
        <v>7</v>
      </c>
      <c r="J31" s="101">
        <f t="shared" si="31"/>
        <v>5</v>
      </c>
      <c r="K31" s="101">
        <f t="shared" si="31"/>
        <v>755</v>
      </c>
      <c r="L31" s="101">
        <f t="shared" si="31"/>
        <v>614</v>
      </c>
      <c r="M31" s="101">
        <f t="shared" si="31"/>
        <v>558</v>
      </c>
      <c r="N31" s="101">
        <f t="shared" si="31"/>
        <v>266</v>
      </c>
      <c r="O31" s="101">
        <f t="shared" si="31"/>
        <v>670</v>
      </c>
      <c r="P31" s="243">
        <f>AVERAGE(D31:O31)</f>
        <v>401.3333333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</row>
    <row r="32" ht="38.25" customHeight="1">
      <c r="A32" s="1"/>
      <c r="C32" s="39" t="s">
        <v>20</v>
      </c>
      <c r="D32" s="101">
        <f t="shared" ref="D32:O32" si="32">RANDBETWEEN(0,1000)</f>
        <v>359</v>
      </c>
      <c r="E32" s="101">
        <f t="shared" si="32"/>
        <v>603</v>
      </c>
      <c r="F32" s="101">
        <f t="shared" si="32"/>
        <v>271</v>
      </c>
      <c r="G32" s="101">
        <f t="shared" si="32"/>
        <v>826</v>
      </c>
      <c r="H32" s="101">
        <f t="shared" si="32"/>
        <v>813</v>
      </c>
      <c r="I32" s="101">
        <f t="shared" si="32"/>
        <v>570</v>
      </c>
      <c r="J32" s="101">
        <f t="shared" si="32"/>
        <v>460</v>
      </c>
      <c r="K32" s="101">
        <f t="shared" si="32"/>
        <v>200</v>
      </c>
      <c r="L32" s="101">
        <f t="shared" si="32"/>
        <v>726</v>
      </c>
      <c r="M32" s="101">
        <f t="shared" si="32"/>
        <v>863</v>
      </c>
      <c r="N32" s="101">
        <f t="shared" si="32"/>
        <v>314</v>
      </c>
      <c r="O32" s="101">
        <f t="shared" si="32"/>
        <v>975</v>
      </c>
      <c r="P32" s="102">
        <f>SUM(F32:O32)</f>
        <v>6018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</row>
    <row r="33" ht="38.25" customHeight="1">
      <c r="A33" s="1"/>
      <c r="C33" s="39" t="s">
        <v>20</v>
      </c>
      <c r="D33" s="101">
        <f t="shared" ref="D33:O33" si="33">RANDBETWEEN(0,1000)</f>
        <v>867</v>
      </c>
      <c r="E33" s="101">
        <f t="shared" si="33"/>
        <v>29</v>
      </c>
      <c r="F33" s="101">
        <f t="shared" si="33"/>
        <v>970</v>
      </c>
      <c r="G33" s="101">
        <f t="shared" si="33"/>
        <v>555</v>
      </c>
      <c r="H33" s="101">
        <f t="shared" si="33"/>
        <v>307</v>
      </c>
      <c r="I33" s="101">
        <f t="shared" si="33"/>
        <v>570</v>
      </c>
      <c r="J33" s="101">
        <f t="shared" si="33"/>
        <v>858</v>
      </c>
      <c r="K33" s="101">
        <f t="shared" si="33"/>
        <v>226</v>
      </c>
      <c r="L33" s="101">
        <f t="shared" si="33"/>
        <v>54</v>
      </c>
      <c r="M33" s="101">
        <f t="shared" si="33"/>
        <v>354</v>
      </c>
      <c r="N33" s="101">
        <f t="shared" si="33"/>
        <v>950</v>
      </c>
      <c r="O33" s="101">
        <f t="shared" si="33"/>
        <v>687</v>
      </c>
      <c r="P33" s="102">
        <f t="shared" ref="P33:P34" si="35">AVERAGE(D33:O33)</f>
        <v>535.5833333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</row>
    <row r="34" ht="38.25" customHeight="1">
      <c r="A34" s="1"/>
      <c r="C34" s="39" t="s">
        <v>20</v>
      </c>
      <c r="D34" s="101">
        <f t="shared" ref="D34:O34" si="34">RANDBETWEEN(0,1000)</f>
        <v>380</v>
      </c>
      <c r="E34" s="101">
        <f t="shared" si="34"/>
        <v>922</v>
      </c>
      <c r="F34" s="101">
        <f t="shared" si="34"/>
        <v>272</v>
      </c>
      <c r="G34" s="101">
        <f t="shared" si="34"/>
        <v>447</v>
      </c>
      <c r="H34" s="101">
        <f t="shared" si="34"/>
        <v>330</v>
      </c>
      <c r="I34" s="101">
        <f t="shared" si="34"/>
        <v>691</v>
      </c>
      <c r="J34" s="101">
        <f t="shared" si="34"/>
        <v>515</v>
      </c>
      <c r="K34" s="101">
        <f t="shared" si="34"/>
        <v>437</v>
      </c>
      <c r="L34" s="101">
        <f t="shared" si="34"/>
        <v>462</v>
      </c>
      <c r="M34" s="101">
        <f t="shared" si="34"/>
        <v>720</v>
      </c>
      <c r="N34" s="101">
        <f t="shared" si="34"/>
        <v>489</v>
      </c>
      <c r="O34" s="101">
        <f t="shared" si="34"/>
        <v>483</v>
      </c>
      <c r="P34" s="102">
        <f t="shared" si="35"/>
        <v>512.3333333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</row>
    <row r="35" ht="3.75" customHeight="1">
      <c r="A35" s="1"/>
      <c r="B35" s="103"/>
      <c r="C35" s="104"/>
      <c r="D35" s="101">
        <f t="shared" ref="D35:O35" si="36">RANDBETWEEN(0,1000)</f>
        <v>328</v>
      </c>
      <c r="E35" s="101">
        <f t="shared" si="36"/>
        <v>328</v>
      </c>
      <c r="F35" s="101">
        <f t="shared" si="36"/>
        <v>51</v>
      </c>
      <c r="G35" s="101">
        <f t="shared" si="36"/>
        <v>834</v>
      </c>
      <c r="H35" s="101">
        <f t="shared" si="36"/>
        <v>561</v>
      </c>
      <c r="I35" s="101">
        <f t="shared" si="36"/>
        <v>765</v>
      </c>
      <c r="J35" s="101">
        <f t="shared" si="36"/>
        <v>509</v>
      </c>
      <c r="K35" s="101">
        <f t="shared" si="36"/>
        <v>174</v>
      </c>
      <c r="L35" s="101">
        <f t="shared" si="36"/>
        <v>75</v>
      </c>
      <c r="M35" s="101">
        <f t="shared" si="36"/>
        <v>727</v>
      </c>
      <c r="N35" s="101">
        <f t="shared" si="36"/>
        <v>634</v>
      </c>
      <c r="O35" s="101">
        <f t="shared" si="36"/>
        <v>513</v>
      </c>
      <c r="P35" s="244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</row>
    <row r="36" ht="38.25" customHeight="1">
      <c r="A36" s="1"/>
      <c r="B36" s="100">
        <v>2026.0</v>
      </c>
      <c r="C36" s="39" t="s">
        <v>20</v>
      </c>
      <c r="D36" s="101">
        <f t="shared" ref="D36:O36" si="37">RANDBETWEEN(0,1000)</f>
        <v>592</v>
      </c>
      <c r="E36" s="101">
        <f t="shared" si="37"/>
        <v>952</v>
      </c>
      <c r="F36" s="101">
        <f t="shared" si="37"/>
        <v>922</v>
      </c>
      <c r="G36" s="101">
        <f t="shared" si="37"/>
        <v>707</v>
      </c>
      <c r="H36" s="101">
        <f t="shared" si="37"/>
        <v>22</v>
      </c>
      <c r="I36" s="101">
        <f t="shared" si="37"/>
        <v>194</v>
      </c>
      <c r="J36" s="101">
        <f t="shared" si="37"/>
        <v>393</v>
      </c>
      <c r="K36" s="101">
        <f t="shared" si="37"/>
        <v>815</v>
      </c>
      <c r="L36" s="101">
        <f t="shared" si="37"/>
        <v>277</v>
      </c>
      <c r="M36" s="101">
        <f t="shared" si="37"/>
        <v>313</v>
      </c>
      <c r="N36" s="101">
        <f t="shared" si="37"/>
        <v>109</v>
      </c>
      <c r="O36" s="101">
        <f t="shared" si="37"/>
        <v>989</v>
      </c>
      <c r="P36" s="243">
        <f t="shared" ref="P36:P37" si="39">SUM(D36:O36)</f>
        <v>6285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</row>
    <row r="37" ht="38.25" customHeight="1">
      <c r="A37" s="1"/>
      <c r="C37" s="39" t="s">
        <v>20</v>
      </c>
      <c r="D37" s="101">
        <f t="shared" ref="D37:O37" si="38">RANDBETWEEN(0,1000)</f>
        <v>898</v>
      </c>
      <c r="E37" s="101">
        <f t="shared" si="38"/>
        <v>989</v>
      </c>
      <c r="F37" s="101">
        <f t="shared" si="38"/>
        <v>160</v>
      </c>
      <c r="G37" s="101">
        <f t="shared" si="38"/>
        <v>580</v>
      </c>
      <c r="H37" s="101">
        <f t="shared" si="38"/>
        <v>15</v>
      </c>
      <c r="I37" s="101">
        <f t="shared" si="38"/>
        <v>966</v>
      </c>
      <c r="J37" s="101">
        <f t="shared" si="38"/>
        <v>15</v>
      </c>
      <c r="K37" s="101">
        <f t="shared" si="38"/>
        <v>308</v>
      </c>
      <c r="L37" s="101">
        <f t="shared" si="38"/>
        <v>858</v>
      </c>
      <c r="M37" s="101">
        <f t="shared" si="38"/>
        <v>846</v>
      </c>
      <c r="N37" s="101">
        <f t="shared" si="38"/>
        <v>244</v>
      </c>
      <c r="O37" s="101">
        <f t="shared" si="38"/>
        <v>187</v>
      </c>
      <c r="P37" s="243">
        <f t="shared" si="39"/>
        <v>6066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</row>
    <row r="38" ht="38.25" customHeight="1">
      <c r="A38" s="1"/>
      <c r="C38" s="39" t="s">
        <v>20</v>
      </c>
      <c r="D38" s="101">
        <f t="shared" ref="D38:O38" si="40">RANDBETWEEN(0,1000)</f>
        <v>30</v>
      </c>
      <c r="E38" s="101">
        <f t="shared" si="40"/>
        <v>663</v>
      </c>
      <c r="F38" s="101">
        <f t="shared" si="40"/>
        <v>353</v>
      </c>
      <c r="G38" s="101">
        <f t="shared" si="40"/>
        <v>390</v>
      </c>
      <c r="H38" s="101">
        <f t="shared" si="40"/>
        <v>578</v>
      </c>
      <c r="I38" s="101">
        <f t="shared" si="40"/>
        <v>873</v>
      </c>
      <c r="J38" s="101">
        <f t="shared" si="40"/>
        <v>817</v>
      </c>
      <c r="K38" s="101">
        <f t="shared" si="40"/>
        <v>15</v>
      </c>
      <c r="L38" s="101">
        <f t="shared" si="40"/>
        <v>9</v>
      </c>
      <c r="M38" s="101">
        <f t="shared" si="40"/>
        <v>120</v>
      </c>
      <c r="N38" s="101">
        <f t="shared" si="40"/>
        <v>565</v>
      </c>
      <c r="O38" s="101">
        <f t="shared" si="40"/>
        <v>631</v>
      </c>
      <c r="P38" s="243">
        <f t="shared" ref="P38:P41" si="42">AVERAGE(D38:O38)</f>
        <v>420.3333333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</row>
    <row r="39" ht="38.25" customHeight="1">
      <c r="A39" s="1"/>
      <c r="C39" s="39" t="s">
        <v>20</v>
      </c>
      <c r="D39" s="101">
        <f t="shared" ref="D39:O39" si="41">RANDBETWEEN(0,1000)</f>
        <v>609</v>
      </c>
      <c r="E39" s="101">
        <f t="shared" si="41"/>
        <v>786</v>
      </c>
      <c r="F39" s="101">
        <f t="shared" si="41"/>
        <v>694</v>
      </c>
      <c r="G39" s="101">
        <f t="shared" si="41"/>
        <v>772</v>
      </c>
      <c r="H39" s="101">
        <f t="shared" si="41"/>
        <v>830</v>
      </c>
      <c r="I39" s="101">
        <f t="shared" si="41"/>
        <v>78</v>
      </c>
      <c r="J39" s="101">
        <f t="shared" si="41"/>
        <v>745</v>
      </c>
      <c r="K39" s="101">
        <f t="shared" si="41"/>
        <v>95</v>
      </c>
      <c r="L39" s="101">
        <f t="shared" si="41"/>
        <v>902</v>
      </c>
      <c r="M39" s="101">
        <f t="shared" si="41"/>
        <v>901</v>
      </c>
      <c r="N39" s="101">
        <f t="shared" si="41"/>
        <v>92</v>
      </c>
      <c r="O39" s="101">
        <f t="shared" si="41"/>
        <v>496</v>
      </c>
      <c r="P39" s="243">
        <f t="shared" si="42"/>
        <v>583.3333333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</row>
    <row r="40" ht="38.25" customHeight="1">
      <c r="A40" s="1"/>
      <c r="C40" s="39" t="s">
        <v>20</v>
      </c>
      <c r="D40" s="101">
        <f t="shared" ref="D40:O40" si="43">RANDBETWEEN(0,1000)</f>
        <v>197</v>
      </c>
      <c r="E40" s="101">
        <f t="shared" si="43"/>
        <v>821</v>
      </c>
      <c r="F40" s="101">
        <f t="shared" si="43"/>
        <v>803</v>
      </c>
      <c r="G40" s="101">
        <f t="shared" si="43"/>
        <v>904</v>
      </c>
      <c r="H40" s="101">
        <f t="shared" si="43"/>
        <v>46</v>
      </c>
      <c r="I40" s="101">
        <f t="shared" si="43"/>
        <v>188</v>
      </c>
      <c r="J40" s="101">
        <f t="shared" si="43"/>
        <v>962</v>
      </c>
      <c r="K40" s="101">
        <f t="shared" si="43"/>
        <v>700</v>
      </c>
      <c r="L40" s="101">
        <f t="shared" si="43"/>
        <v>45</v>
      </c>
      <c r="M40" s="101">
        <f t="shared" si="43"/>
        <v>621</v>
      </c>
      <c r="N40" s="101">
        <f t="shared" si="43"/>
        <v>544</v>
      </c>
      <c r="O40" s="101">
        <f t="shared" si="43"/>
        <v>637</v>
      </c>
      <c r="P40" s="243">
        <f t="shared" si="42"/>
        <v>539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</row>
    <row r="41" ht="38.25" customHeight="1">
      <c r="A41" s="1"/>
      <c r="C41" s="39" t="s">
        <v>20</v>
      </c>
      <c r="D41" s="101">
        <f t="shared" ref="D41:O41" si="44">RANDBETWEEN(0,1000)</f>
        <v>917</v>
      </c>
      <c r="E41" s="101">
        <f t="shared" si="44"/>
        <v>996</v>
      </c>
      <c r="F41" s="101">
        <f t="shared" si="44"/>
        <v>622</v>
      </c>
      <c r="G41" s="101">
        <f t="shared" si="44"/>
        <v>873</v>
      </c>
      <c r="H41" s="101">
        <f t="shared" si="44"/>
        <v>580</v>
      </c>
      <c r="I41" s="101">
        <f t="shared" si="44"/>
        <v>548</v>
      </c>
      <c r="J41" s="101">
        <f t="shared" si="44"/>
        <v>577</v>
      </c>
      <c r="K41" s="101">
        <f t="shared" si="44"/>
        <v>445</v>
      </c>
      <c r="L41" s="101">
        <f t="shared" si="44"/>
        <v>333</v>
      </c>
      <c r="M41" s="101">
        <f t="shared" si="44"/>
        <v>901</v>
      </c>
      <c r="N41" s="101">
        <f t="shared" si="44"/>
        <v>110</v>
      </c>
      <c r="O41" s="101">
        <f t="shared" si="44"/>
        <v>867</v>
      </c>
      <c r="P41" s="243">
        <f t="shared" si="42"/>
        <v>647.4166667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</row>
    <row r="42" ht="6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</row>
    <row r="43" ht="18.0" customHeight="1">
      <c r="A43" s="1"/>
      <c r="B43" s="1"/>
      <c r="C43" s="245" t="s">
        <v>177</v>
      </c>
      <c r="D43" s="3"/>
      <c r="E43" s="3"/>
      <c r="F43" s="3"/>
      <c r="G43" s="3"/>
      <c r="H43" s="3"/>
      <c r="I43" s="3"/>
      <c r="J43" s="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</row>
  </sheetData>
  <mergeCells count="16">
    <mergeCell ref="C43:J43"/>
    <mergeCell ref="C23:C25"/>
    <mergeCell ref="B29:B34"/>
    <mergeCell ref="B36:B41"/>
    <mergeCell ref="C27:J27"/>
    <mergeCell ref="C15:C17"/>
    <mergeCell ref="C19:C21"/>
    <mergeCell ref="J15:J17"/>
    <mergeCell ref="J19:J21"/>
    <mergeCell ref="J7:J9"/>
    <mergeCell ref="J11:J13"/>
    <mergeCell ref="C2:J2"/>
    <mergeCell ref="C4:H4"/>
    <mergeCell ref="C7:C9"/>
    <mergeCell ref="C11:C13"/>
    <mergeCell ref="I4:N4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2026-04-07T07:45:26Z</dcterms:created>
  <dc:creator>openpyxl</dc:creator>
</cp:coreProperties>
</file>